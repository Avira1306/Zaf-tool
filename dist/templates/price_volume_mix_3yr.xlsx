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zionadvisor-my.sharepoint.com/personal/abhishek_bhandari_zionadvisor_com/Documents/15 D Drive/2.ZAFtool/3.Backup/FDD templates/"/>
    </mc:Choice>
  </mc:AlternateContent>
  <xr:revisionPtr revIDLastSave="64" documentId="8_{D13B66F2-D544-48CD-8460-A8C6CA2FFB18}" xr6:coauthVersionLast="47" xr6:coauthVersionMax="47" xr10:uidLastSave="{D3B551FB-1D63-46FD-AAE1-B60A4EA687F7}"/>
  <bookViews>
    <workbookView xWindow="-120" yWindow="-120" windowWidth="20730" windowHeight="11040" xr2:uid="{2C530B98-04C1-42DA-9775-333DF3D5FA55}"/>
  </bookViews>
  <sheets>
    <sheet name="PL7" sheetId="1" r:id="rId1"/>
  </sheets>
  <definedNames>
    <definedName name="_Order1" hidden="1">0</definedName>
    <definedName name="_Order2" hidden="1">255</definedName>
    <definedName name="_UNDO_UPS_" hidden="1">#REF!</definedName>
    <definedName name="_UNDO_UPS_SEL_" hidden="1">#REF!</definedName>
    <definedName name="_UNDO31X31X_" hidden="1">#REF!</definedName>
    <definedName name="_xlchart.v1.0" hidden="1">'PL7'!$B$38:$B$48</definedName>
    <definedName name="_xlchart.v1.1" hidden="1">'PL7'!$C$38:$C$48</definedName>
    <definedName name="Acc_Depn">#REF!</definedName>
    <definedName name="Capex_YTD">#REF!</definedName>
    <definedName name="Cash">#REF!</definedName>
    <definedName name="Cash_BefDebt">#REF!</definedName>
    <definedName name="Cash_Calc">#REF!</definedName>
    <definedName name="Cash_Calc_LBO">#REF!</definedName>
    <definedName name="Cash_Calc_YTD">#REF!</definedName>
    <definedName name="Cash_LBO">#REF!</definedName>
    <definedName name="Cash_OD">#REF!</definedName>
    <definedName name="Cash_OD_LBO">#REF!</definedName>
    <definedName name="Cash_OD_YTD">#REF!</definedName>
    <definedName name="Cash_PF_LBO">#REF!</definedName>
    <definedName name="Cash_Sweep_LBO">#REF!</definedName>
    <definedName name="Cash_YTD">#REF!</definedName>
    <definedName name="ChartCaptions" localSheetId="0">#REF!</definedName>
    <definedName name="ChartCaptions">#REF!</definedName>
    <definedName name="ChartingArea" localSheetId="0">#REF!            ,#REF!</definedName>
    <definedName name="ChartingArea">#REF!            ,#REF!</definedName>
    <definedName name="ChartingLabels" localSheetId="0">#REF!</definedName>
    <definedName name="ChartingLabels">#REF!</definedName>
    <definedName name="CIQWBGuid" localSheetId="0" hidden="1">"5ae21fbe-41e2-47be-b6a6-80d40ad7bb81"</definedName>
    <definedName name="CIQWBGuid" hidden="1">"c5a939d2-d6d2-445d-9bbb-3ae00710c92f"</definedName>
    <definedName name="CIQWBInfo" hidden="1">"{ ""CIQVersion"":""9.51.3510.3078"" }"</definedName>
    <definedName name="COGS">#REF!</definedName>
    <definedName name="COGS_YTD">#REF!</definedName>
    <definedName name="Companyname">#REF!</definedName>
    <definedName name="CompletionDate">#REF!</definedName>
    <definedName name="cur">#REF!</definedName>
    <definedName name="Currency">#REF!</definedName>
    <definedName name="CVY">#REF!</definedName>
    <definedName name="CVY_Date">#REF!</definedName>
    <definedName name="Dates">#REF!</definedName>
    <definedName name="Debt">#REF!</definedName>
    <definedName name="DefTax_Bal">#REF!</definedName>
    <definedName name="DefTax_Bal_LBO">#REF!</definedName>
    <definedName name="DefTax_Bal_PF_LBO">#REF!</definedName>
    <definedName name="DefTax_Bal_YTD">#REF!</definedName>
    <definedName name="DefTax_Delta">#REF!</definedName>
    <definedName name="DefTax_Delta_LBO">#REF!</definedName>
    <definedName name="DefTax_Delta_YTD">#REF!</definedName>
    <definedName name="DefTaxA_Bal">#REF!</definedName>
    <definedName name="DefTaxA_Bal_LBO">#REF!</definedName>
    <definedName name="DefTaxA_Bal_PF_LBO">#REF!</definedName>
    <definedName name="DefTaxA_Bal_YTD">#REF!</definedName>
    <definedName name="DefTaxA_Delta">#REF!</definedName>
    <definedName name="DefTaxA_Delta_LBO">#REF!</definedName>
    <definedName name="DefTaxA_Delta_YTD">#REF!</definedName>
    <definedName name="Depn">#REF!</definedName>
    <definedName name="Depn_YTD">#REF!</definedName>
    <definedName name="Div_Bal">#REF!</definedName>
    <definedName name="Div_Bal_LBO">#REF!</definedName>
    <definedName name="Div_Bal_PF_LBO">#REF!</definedName>
    <definedName name="Div_Bal_YTD">#REF!</definedName>
    <definedName name="Div_Cash">#REF!</definedName>
    <definedName name="Div_Cash_LBO">#REF!</definedName>
    <definedName name="Div_Cash_YTD">#REF!</definedName>
    <definedName name="Div_Com">#REF!</definedName>
    <definedName name="Div_Com_LBO">#REF!</definedName>
    <definedName name="Div_Com_YTD">#REF!</definedName>
    <definedName name="DIY">#REF!</definedName>
    <definedName name="Earn_BefTax_LBO">#REF!</definedName>
    <definedName name="Earn_Com_LBO">#REF!</definedName>
    <definedName name="EBIT">#REF!</definedName>
    <definedName name="EBITA">#REF!</definedName>
    <definedName name="EBITA_Adj">#REF!</definedName>
    <definedName name="EBITA_Adj_YTD">#REF!</definedName>
    <definedName name="EBITA_YTD">#REF!</definedName>
    <definedName name="EBITDA">#REF!</definedName>
    <definedName name="EBITDA_Adj_LTM">#REF!</definedName>
    <definedName name="EBITDA_Bridge" localSheetId="0">#REF!</definedName>
    <definedName name="EBITDA_Bridge">#REF!</definedName>
    <definedName name="EBITDA_YTD">#REF!</definedName>
    <definedName name="EMS">#REF!</definedName>
    <definedName name="EMS_YTD">#REF!</definedName>
    <definedName name="EP">#REF!</definedName>
    <definedName name="Equity_Adj">#REF!</definedName>
    <definedName name="Equity_Adj_LBO">#REF!</definedName>
    <definedName name="Equity_Adj_YTD">#REF!</definedName>
    <definedName name="Equity_Bal">#REF!</definedName>
    <definedName name="Equity_Bal_BF">#REF!</definedName>
    <definedName name="Equity_Bal_BF_LBO">#REF!</definedName>
    <definedName name="Equity_Bal_BF_YTD">#REF!</definedName>
    <definedName name="Equity_Bal_LBO">#REF!</definedName>
    <definedName name="Equity_Bal_PF_LBO">#REF!</definedName>
    <definedName name="Equity_Bal_YTD">#REF!</definedName>
    <definedName name="Equity_Cash">#REF!</definedName>
    <definedName name="Equity_Cash_LBO">#REF!</definedName>
    <definedName name="Equity_Cash_YTD">#REF!</definedName>
    <definedName name="Equity_Inv_LBO">#REF!</definedName>
    <definedName name="EURUSD03">#REF!</definedName>
    <definedName name="EURUSD04">#REF!</definedName>
    <definedName name="EURUSD05">#REF!</definedName>
    <definedName name="EURUSD06">#REF!</definedName>
    <definedName name="EURUSD07">#REF!</definedName>
    <definedName name="EV">#REF!</definedName>
    <definedName name="EVexcltrans">#REF!</definedName>
    <definedName name="ExitMultiple">#REF!</definedName>
    <definedName name="ExtraOrdItem">#REF!</definedName>
    <definedName name="ExtraordItem_YTD">#REF!</definedName>
    <definedName name="FA_Hist">#REF!</definedName>
    <definedName name="FCF">#REF!</definedName>
    <definedName name="FCF_YTD">#REF!</definedName>
    <definedName name="FFA">#REF!</definedName>
    <definedName name="FFA_YTD">#REF!</definedName>
    <definedName name="ForwardEBITA">#REF!</definedName>
    <definedName name="ForwardEBITDA">#REF!</definedName>
    <definedName name="FY">#REF!</definedName>
    <definedName name="g">#REF!</definedName>
    <definedName name="GBPEUR03">#REF!</definedName>
    <definedName name="GBPEUR04">#REF!</definedName>
    <definedName name="GBPEUR05">#REF!</definedName>
    <definedName name="GBPEUR06">#REF!</definedName>
    <definedName name="GBPEUR07">#REF!</definedName>
    <definedName name="GBPUSD03">#REF!</definedName>
    <definedName name="GBPUSD04">#REF!</definedName>
    <definedName name="GBPUSD05">#REF!</definedName>
    <definedName name="GBPUSD06">#REF!</definedName>
    <definedName name="GBPUSD07">#REF!</definedName>
    <definedName name="Group">#REF!</definedName>
    <definedName name="GW_Amort">#REF!</definedName>
    <definedName name="GW_Amort_YTD">#REF!</definedName>
    <definedName name="GW_Bal">#REF!</definedName>
    <definedName name="GW_Bal_YTD">#REF!</definedName>
    <definedName name="GW_Cash">#REF!</definedName>
    <definedName name="GW_Cash_YTD">#REF!</definedName>
    <definedName name="GW_Cum">#REF!</definedName>
    <definedName name="GW_Init">#REF!</definedName>
    <definedName name="GW_Writeoff">#REF!</definedName>
    <definedName name="GW_writeoff_YTD">#REF!</definedName>
    <definedName name="High">#REF!</definedName>
    <definedName name="HistoricalEBITA">#REF!</definedName>
    <definedName name="HistoricalEBITDA">#REF!</definedName>
    <definedName name="HistoricalEBITDACapex">#REF!</definedName>
    <definedName name="Int_Cash_Excl_OD_LBO">#REF!</definedName>
    <definedName name="Int_Cash_LBO">#REF!</definedName>
    <definedName name="Int_Exp">#REF!</definedName>
    <definedName name="Int_Exp_Excl_OD">#REF!</definedName>
    <definedName name="Int_Exp_Excl_OD_LBO">#REF!</definedName>
    <definedName name="Int_Exp_LBO">#REF!</definedName>
    <definedName name="Int_Exp_YTD">#REF!</definedName>
    <definedName name="Int_Inc">#REF!</definedName>
    <definedName name="Int_Inc_LBO">#REF!</definedName>
    <definedName name="Int_Inc_YTD">#REF!</definedName>
    <definedName name="Intang_Amort">#REF!</definedName>
    <definedName name="Intang_Amort_YTD">#REF!</definedName>
    <definedName name="Intang_Bal">#REF!</definedName>
    <definedName name="Intang_Bal_YTD">#REF!</definedName>
    <definedName name="Intang_Cash">#REF!</definedName>
    <definedName name="Intang_Cash_YTD">#REF!</definedName>
    <definedName name="Intang_Init">#REF!</definedName>
    <definedName name="Inv">#REF!</definedName>
    <definedName name="Inv_Bal">#REF!</definedName>
    <definedName name="Inv_Bal_YTD">#REF!</definedName>
    <definedName name="Inv_Cap">#REF!</definedName>
    <definedName name="Inv_Cap_YTD">#REF!</definedName>
    <definedName name="Inv_Cash">#REF!</definedName>
    <definedName name="Inv_Cash_YTD">#REF!</definedName>
    <definedName name="Inv_YTD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localSheetId="0" hidden="1">41716.6659027778</definedName>
    <definedName name="IQ_NAMES_REVISION_DATE_" hidden="1">41177.6341666667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B_BOOKMARK_COUNT" hidden="1">1</definedName>
    <definedName name="IRR">#REF!</definedName>
    <definedName name="Iteration">#REF!</definedName>
    <definedName name="Lastfinancialyear">#REF!</definedName>
    <definedName name="Low">#REF!</definedName>
    <definedName name="LTD_Bal">#REF!</definedName>
    <definedName name="LTD_Bal_LBO">#REF!</definedName>
    <definedName name="LTD_Bal_PF_LBO">#REF!</definedName>
    <definedName name="LTD_Bal_YTD">#REF!</definedName>
    <definedName name="LTD_Cash">#REF!</definedName>
    <definedName name="LTD_Cash_LBO">#REF!</definedName>
    <definedName name="LTD_Cash_YTD">#REF!</definedName>
    <definedName name="Mezz_Bal_LBO">#REF!</definedName>
    <definedName name="Mezz_Equity_Bal_LBO">#REF!</definedName>
    <definedName name="Min_Bal">#REF!</definedName>
    <definedName name="Min_Bal_YTD">#REF!</definedName>
    <definedName name="Min_Cash">#REF!</definedName>
    <definedName name="Min_Cash_YTD">#REF!</definedName>
    <definedName name="Min_Prof">#REF!</definedName>
    <definedName name="Min_Prof_YTD">#REF!</definedName>
    <definedName name="MIY">#REF!</definedName>
    <definedName name="MV_Debt">#REF!</definedName>
    <definedName name="MV_Debt_YTD">#REF!</definedName>
    <definedName name="MV_Min">#REF!</definedName>
    <definedName name="MV_Min_LBO">#REF!</definedName>
    <definedName name="MV_Min_YTD">#REF!</definedName>
    <definedName name="MV_OpLease">#REF!</definedName>
    <definedName name="MV_OpLease_YTD">#REF!</definedName>
    <definedName name="MV_Prefs">#REF!</definedName>
    <definedName name="MV_Prefs_YTD">#REF!</definedName>
    <definedName name="MV_Restr">#REF!</definedName>
    <definedName name="MV_Restr_YTD">#REF!</definedName>
    <definedName name="MV_RetRel">#REF!</definedName>
    <definedName name="MV_RetRel_YTD">#REF!</definedName>
    <definedName name="MYAF">#REF!</definedName>
    <definedName name="Name">#REF!</definedName>
    <definedName name="NetDebt">#REF!</definedName>
    <definedName name="NetDebt_Adj">#REF!</definedName>
    <definedName name="NetDebt_Adj_LBO">#REF!</definedName>
    <definedName name="NetDebt_LBO">#REF!</definedName>
    <definedName name="NetIncome">#REF!</definedName>
    <definedName name="NOA_Bal">#REF!</definedName>
    <definedName name="NOA_Bal_YTD">#REF!</definedName>
    <definedName name="NOA_Cash">#REF!</definedName>
    <definedName name="NOA_Cash_YTD">#REF!</definedName>
    <definedName name="NOI">#REF!</definedName>
    <definedName name="NOI_YTD">#REF!</definedName>
    <definedName name="NOPLAT">#REF!</definedName>
    <definedName name="NOPLAT_YTD">#REF!</definedName>
    <definedName name="OCA">#REF!</definedName>
    <definedName name="OCA_YTD">#REF!</definedName>
    <definedName name="OCL">#REF!</definedName>
    <definedName name="OCL_YTD">#REF!</definedName>
    <definedName name="OD">#REF!</definedName>
    <definedName name="OD_LBO">#REF!</definedName>
    <definedName name="OD_PF_LBO">#REF!</definedName>
    <definedName name="OD_YTD">#REF!</definedName>
    <definedName name="One">#REF!</definedName>
    <definedName name="OOA_Bal">#REF!</definedName>
    <definedName name="OOA_Bal_YTD">#REF!</definedName>
    <definedName name="OOA_Cash">#REF!</definedName>
    <definedName name="OOA_Cash_YTD">#REF!</definedName>
    <definedName name="OOL_Bal">#REF!</definedName>
    <definedName name="OOL_Bal_YTD">#REF!</definedName>
    <definedName name="OOL_Cash">#REF!</definedName>
    <definedName name="OOL_Cash_YTD">#REF!</definedName>
    <definedName name="OpCash">#REF!</definedName>
    <definedName name="OpCash_YTD">#REF!</definedName>
    <definedName name="OpLease_Bal">#REF!</definedName>
    <definedName name="OpLease_Bal_YTD">#REF!</definedName>
    <definedName name="OpLease_Cash">#REF!</definedName>
    <definedName name="OpLease_Cash_YTD">#REF!</definedName>
    <definedName name="OpLease_Int">#REF!</definedName>
    <definedName name="OpLease_Int_YTD">#REF!</definedName>
    <definedName name="Options">#REF!</definedName>
    <definedName name="Options_YTD">#REF!</definedName>
    <definedName name="Ords">#REF!</definedName>
    <definedName name="Other_Adj_LBO">#REF!</definedName>
    <definedName name="OV">#REF!</definedName>
    <definedName name="Pen_Excess">#REF!</definedName>
    <definedName name="Pen_Excess_YTD">#REF!</definedName>
    <definedName name="PPE_Net_YTD">#REF!</definedName>
    <definedName name="Prefs_Bal">#REF!</definedName>
    <definedName name="Prefs_Bal_LBO">#REF!</definedName>
    <definedName name="Prefs_Bal_PF_LBO">#REF!</definedName>
    <definedName name="Prefs_Bal_YTD">#REF!</definedName>
    <definedName name="Prefs_Cash">#REF!</definedName>
    <definedName name="Prefs_Cash_LBO">#REF!</definedName>
    <definedName name="Prefs_Cash_YTD">#REF!</definedName>
    <definedName name="Prefs_Div">#REF!</definedName>
    <definedName name="Prefs_Div_LBO">#REF!</definedName>
    <definedName name="Prefs_Div_YTD">#REF!</definedName>
    <definedName name="Prefs_Inv_LBO">#REF!</definedName>
    <definedName name="Prefs_No">#REF!</definedName>
    <definedName name="Prefs_No_YTD">#REF!</definedName>
    <definedName name="Prov_Bal_YTD">#REF!</definedName>
    <definedName name="Prov_Cash">#REF!</definedName>
    <definedName name="Prov_Cash_YTD">#REF!</definedName>
    <definedName name="Purch_GW_LBO">#REF!</definedName>
    <definedName name="QE">#REF!</definedName>
    <definedName name="QE_Date">#REF!</definedName>
    <definedName name="Restr_Bal">#REF!</definedName>
    <definedName name="Restr_Bal_YTD">#REF!</definedName>
    <definedName name="Restr_Cash">#REF!</definedName>
    <definedName name="Restr_Cash_YTD">#REF!</definedName>
    <definedName name="Restr_Prof">#REF!</definedName>
    <definedName name="Restr_Prof_YTD">#REF!</definedName>
    <definedName name="RetRel_Bal">#REF!</definedName>
    <definedName name="RetRel_Bal_YTD">#REF!</definedName>
    <definedName name="RetRel_Cash">#REF!</definedName>
    <definedName name="RetRel_Cash_YTD">#REF!</definedName>
    <definedName name="RetRel_Int">#REF!</definedName>
    <definedName name="RetRel_Int_YTD">#REF!</definedName>
    <definedName name="Rev">#REF!</definedName>
    <definedName name="Rev_YTD">#REF!</definedName>
    <definedName name="ROIC">#REF!</definedName>
    <definedName name="Scenario">#REF!</definedName>
    <definedName name="SecL_Bal_LBO">#REF!</definedName>
    <definedName name="SenA_Bal_LBO">#REF!</definedName>
    <definedName name="SenB_Bal_LBO">#REF!</definedName>
    <definedName name="SenC_Bal_LBO">#REF!</definedName>
    <definedName name="SGA">#REF!</definedName>
    <definedName name="SGA_YTD">#REF!</definedName>
    <definedName name="Shares_Av">#REF!</definedName>
    <definedName name="Shares_Av_YTD">#REF!</definedName>
    <definedName name="Shares_FD_Av">#REF!</definedName>
    <definedName name="Shares_FD_Av_YTD">#REF!</definedName>
    <definedName name="Shares_FD_YE">#REF!</definedName>
    <definedName name="Shares_FD_YE_YTD">#REF!</definedName>
    <definedName name="Shares_YE">#REF!</definedName>
    <definedName name="Shares_YE_YTD">#REF!</definedName>
    <definedName name="Shares1">#REF!</definedName>
    <definedName name="Shares2">#REF!</definedName>
    <definedName name="Shares3">#REF!</definedName>
    <definedName name="SpecItem">#REF!</definedName>
    <definedName name="SpecItem_YTD">#REF!</definedName>
    <definedName name="STD_Bal">#REF!</definedName>
    <definedName name="STD_Bal_PF_LBO">#REF!</definedName>
    <definedName name="STD_Bal_YTD">#REF!</definedName>
    <definedName name="STD_Cash">#REF!</definedName>
    <definedName name="STD_Cash_YTD">#REF!</definedName>
    <definedName name="TAX">#REF!</definedName>
    <definedName name="Tax_Charge">#REF!</definedName>
    <definedName name="Tax_Charge_LBO">#REF!</definedName>
    <definedName name="Tax_Charge_YTD">#REF!</definedName>
    <definedName name="Tax_Cred_Bal">#REF!</definedName>
    <definedName name="Tax_Cred_Bal_LBO">#REF!</definedName>
    <definedName name="Tax_Cred_Bal_PF_LBO">#REF!</definedName>
    <definedName name="Tax_Cred_Bal_YTD">#REF!</definedName>
    <definedName name="Tax_Cred_Delta">#REF!</definedName>
    <definedName name="Tax_Cred_Delta_LBO">#REF!</definedName>
    <definedName name="Tax_Cred_Delta_YTD">#REF!</definedName>
    <definedName name="Tax_Paid">#REF!</definedName>
    <definedName name="Tax_Paid_LBO">#REF!</definedName>
    <definedName name="Tax_Paid_YTD">#REF!</definedName>
    <definedName name="TaxRate">#REF!</definedName>
    <definedName name="TaxRateMarg">#REF!</definedName>
    <definedName name="TaxRateMarg_LBO">#REF!</definedName>
    <definedName name="TaxRateMarg_YTD">#REF!</definedName>
    <definedName name="TradCred">#REF!</definedName>
    <definedName name="TradCred_YTD">#REF!</definedName>
    <definedName name="TradDebt">#REF!</definedName>
    <definedName name="TradDebt_YTD">#REF!</definedName>
    <definedName name="Translation">#REF!</definedName>
    <definedName name="Translation_YTD">#REF!</definedName>
    <definedName name="Unit_label">#REF!</definedName>
    <definedName name="Units">#REF!</definedName>
    <definedName name="Val_Date">#REF!</definedName>
    <definedName name="WACC">#REF!</definedName>
    <definedName name="WACCF">#REF!</definedName>
    <definedName name="WC_Bal">#REF!</definedName>
    <definedName name="WC_Bal_YTD">#REF!</definedName>
    <definedName name="WC_Delta">#REF!</definedName>
    <definedName name="WC_Delta_YTD">#REF!</definedName>
    <definedName name="wrn.Business._.Report." hidden="1">{#N/A,#N/A,FALSE,"Header";#N/A,#N/A,FALSE,"Distribution";#N/A,#N/A,FALSE,"Contents";#N/A,#N/A,FALSE,"Key Deliverables 1";#N/A,#N/A,FALSE,"Key Deliverables 2";#N/A,#N/A,FALSE,"OH&amp;S";#N/A,#N/A,FALSE,"Profit";#N/A,#N/A,FALSE,"EBIT";#N/A,#N/A,FALSE,"Revenue (1)";#N/A,#N/A,FALSE,"Revenue (2)";#N/A,#N/A,FALSE,"Revenue (3)";#N/A,#N/A,FALSE,"Manufacturing Variance";#N/A,#N/A,FALSE,"Repairs &amp; Maintenance";#N/A,#N/A,FALSE,"Fixed Costs";#N/A,#N/A,FALSE,"Operating Costs";#N/A,#N/A,FALSE,"Cash 1";#N/A,#N/A,FALSE,"Cash 2";#N/A,#N/A,FALSE,"Working Capital";#N/A,#N/A,FALSE,"Capex";#N/A,#N/A,FALSE,"Balance Sheet";#N/A,#N/A,FALSE,"Legal";#N/A,#N/A,FALSE,"Five Year History";#N/A,#N/A,FALSE,"No. Twos"}</definedName>
    <definedName name="wrn.Business._.Report._1" hidden="1">{#N/A,#N/A,FALSE,"Header";#N/A,#N/A,FALSE,"Distribution";#N/A,#N/A,FALSE,"Contents";#N/A,#N/A,FALSE,"Key Deliverables 1";#N/A,#N/A,FALSE,"Key Deliverables 2";#N/A,#N/A,FALSE,"OH&amp;S";#N/A,#N/A,FALSE,"Profit";#N/A,#N/A,FALSE,"EBIT";#N/A,#N/A,FALSE,"Revenue (1)";#N/A,#N/A,FALSE,"Revenue (2)";#N/A,#N/A,FALSE,"Revenue (3)";#N/A,#N/A,FALSE,"Manufacturing Variance";#N/A,#N/A,FALSE,"Repairs &amp; Maintenance";#N/A,#N/A,FALSE,"Fixed Costs";#N/A,#N/A,FALSE,"Operating Costs";#N/A,#N/A,FALSE,"Cash 1";#N/A,#N/A,FALSE,"Cash 2";#N/A,#N/A,FALSE,"Working Capital";#N/A,#N/A,FALSE,"Capex";#N/A,#N/A,FALSE,"Balance Sheet";#N/A,#N/A,FALSE,"Legal";#N/A,#N/A,FALSE,"Five Year History";#N/A,#N/A,FALSE,"No. Twos"}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YE">#REF!</definedName>
    <definedName name="YE_TALER">#REF!</definedName>
    <definedName name="Year">#REF!</definedName>
    <definedName name="year0">#REF!</definedName>
    <definedName name="YearStart1" localSheetId="0">#REF!</definedName>
    <definedName name="YearStart1">#REF!</definedName>
    <definedName name="YearStart2" localSheetId="0">#REF!</definedName>
    <definedName name="YearStart2">#REF!</definedName>
    <definedName name="YearStart3" localSheetId="0">#REF!</definedName>
    <definedName name="YearStart3">#REF!</definedName>
    <definedName name="YearStart4" localSheetId="0">#REF!</definedName>
    <definedName name="YearStart4">#REF!</definedName>
    <definedName name="YearStart5" localSheetId="0">#REF!</definedName>
    <definedName name="YearStart5">#REF!</definedName>
    <definedName name="YearStart6" localSheetId="0">#REF!</definedName>
    <definedName name="YearStart6">#REF!</definedName>
    <definedName name="YearStart7" localSheetId="0">#REF!</definedName>
    <definedName name="YearStart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2" i="1" l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H32" i="1"/>
  <c r="G32" i="1"/>
  <c r="F32" i="1"/>
  <c r="H22" i="1"/>
  <c r="G22" i="1"/>
  <c r="F22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H12" i="1"/>
  <c r="G12" i="1"/>
  <c r="F12" i="1"/>
  <c r="J32" i="1"/>
  <c r="L31" i="1"/>
  <c r="H31" i="1"/>
  <c r="R31" i="1" s="1"/>
  <c r="C31" i="1"/>
  <c r="B31" i="1"/>
  <c r="D31" i="1" s="1"/>
  <c r="G30" i="1"/>
  <c r="H30" i="1" s="1"/>
  <c r="B30" i="1"/>
  <c r="G29" i="1"/>
  <c r="H29" i="1" s="1"/>
  <c r="B29" i="1"/>
  <c r="K28" i="1"/>
  <c r="G28" i="1"/>
  <c r="H28" i="1" s="1"/>
  <c r="B28" i="1"/>
  <c r="B32" i="1" s="1"/>
  <c r="K21" i="1"/>
  <c r="L21" i="1" s="1"/>
  <c r="G21" i="1"/>
  <c r="C21" i="1" s="1"/>
  <c r="B21" i="1"/>
  <c r="G20" i="1"/>
  <c r="H20" i="1" s="1"/>
  <c r="B20" i="1"/>
  <c r="K19" i="1"/>
  <c r="J22" i="1"/>
  <c r="B18" i="1"/>
  <c r="L11" i="1"/>
  <c r="H11" i="1"/>
  <c r="B11" i="1"/>
  <c r="L10" i="1"/>
  <c r="B10" i="1"/>
  <c r="C10" i="1"/>
  <c r="L9" i="1"/>
  <c r="C9" i="1"/>
  <c r="G19" i="1"/>
  <c r="L8" i="1"/>
  <c r="J12" i="1"/>
  <c r="H8" i="1"/>
  <c r="C8" i="1"/>
  <c r="G18" i="1"/>
  <c r="D10" i="1" l="1"/>
  <c r="U8" i="1"/>
  <c r="D8" i="1"/>
  <c r="R30" i="1"/>
  <c r="R11" i="1"/>
  <c r="U11" i="1"/>
  <c r="H19" i="1"/>
  <c r="C19" i="1"/>
  <c r="D19" i="1" s="1"/>
  <c r="R20" i="1"/>
  <c r="R29" i="1"/>
  <c r="R28" i="1"/>
  <c r="H18" i="1"/>
  <c r="D21" i="1"/>
  <c r="U31" i="1"/>
  <c r="K12" i="1"/>
  <c r="B19" i="1"/>
  <c r="B22" i="1" s="1"/>
  <c r="L19" i="1"/>
  <c r="K29" i="1"/>
  <c r="B8" i="1"/>
  <c r="K20" i="1"/>
  <c r="H21" i="1"/>
  <c r="L28" i="1"/>
  <c r="U28" i="1" s="1"/>
  <c r="H9" i="1"/>
  <c r="C11" i="1"/>
  <c r="D11" i="1" s="1"/>
  <c r="K30" i="1"/>
  <c r="H10" i="1"/>
  <c r="U10" i="1" s="1"/>
  <c r="B9" i="1"/>
  <c r="D9" i="1" s="1"/>
  <c r="C20" i="1"/>
  <c r="D20" i="1" s="1"/>
  <c r="C28" i="1"/>
  <c r="C30" i="1"/>
  <c r="D30" i="1" s="1"/>
  <c r="R8" i="1"/>
  <c r="K18" i="1"/>
  <c r="C18" i="1" s="1"/>
  <c r="C22" i="1" l="1"/>
  <c r="D18" i="1"/>
  <c r="C38" i="1"/>
  <c r="B24" i="1"/>
  <c r="L29" i="1"/>
  <c r="D12" i="1"/>
  <c r="L20" i="1"/>
  <c r="R18" i="1"/>
  <c r="R32" i="1"/>
  <c r="C29" i="1"/>
  <c r="D29" i="1" s="1"/>
  <c r="L12" i="1"/>
  <c r="U21" i="1"/>
  <c r="R21" i="1"/>
  <c r="U19" i="1"/>
  <c r="D28" i="1"/>
  <c r="L30" i="1"/>
  <c r="K22" i="1"/>
  <c r="L18" i="1"/>
  <c r="R10" i="1"/>
  <c r="R19" i="1"/>
  <c r="R9" i="1"/>
  <c r="R12" i="1" s="1"/>
  <c r="U9" i="1"/>
  <c r="U12" i="1" s="1"/>
  <c r="B12" i="1"/>
  <c r="K32" i="1"/>
  <c r="C12" i="1"/>
  <c r="D22" i="1" l="1"/>
  <c r="C14" i="1"/>
  <c r="C24" i="1"/>
  <c r="R22" i="1"/>
  <c r="L22" i="1"/>
  <c r="U18" i="1"/>
  <c r="U29" i="1"/>
  <c r="L32" i="1"/>
  <c r="U30" i="1"/>
  <c r="U20" i="1"/>
  <c r="D32" i="1"/>
  <c r="B14" i="1"/>
  <c r="C32" i="1"/>
  <c r="T28" i="1" l="1"/>
  <c r="U22" i="1"/>
  <c r="T31" i="1"/>
  <c r="S31" i="1" s="1"/>
  <c r="V31" i="1" s="1"/>
  <c r="X31" i="1" s="1"/>
  <c r="T11" i="1"/>
  <c r="S11" i="1" s="1"/>
  <c r="V11" i="1" s="1"/>
  <c r="X11" i="1" s="1"/>
  <c r="T9" i="1"/>
  <c r="S9" i="1" s="1"/>
  <c r="V9" i="1" s="1"/>
  <c r="X9" i="1" s="1"/>
  <c r="T20" i="1"/>
  <c r="S20" i="1" s="1"/>
  <c r="V20" i="1" s="1"/>
  <c r="X20" i="1" s="1"/>
  <c r="T21" i="1"/>
  <c r="S21" i="1" s="1"/>
  <c r="V21" i="1" s="1"/>
  <c r="X21" i="1" s="1"/>
  <c r="T30" i="1"/>
  <c r="S30" i="1" s="1"/>
  <c r="V30" i="1" s="1"/>
  <c r="X30" i="1" s="1"/>
  <c r="T10" i="1"/>
  <c r="S10" i="1" s="1"/>
  <c r="V10" i="1" s="1"/>
  <c r="X10" i="1" s="1"/>
  <c r="T29" i="1"/>
  <c r="S29" i="1" s="1"/>
  <c r="V29" i="1" s="1"/>
  <c r="X29" i="1" s="1"/>
  <c r="T19" i="1"/>
  <c r="S19" i="1" s="1"/>
  <c r="V19" i="1" s="1"/>
  <c r="X19" i="1" s="1"/>
  <c r="T18" i="1"/>
  <c r="T8" i="1"/>
  <c r="U32" i="1"/>
  <c r="T32" i="1" l="1"/>
  <c r="S28" i="1"/>
  <c r="T12" i="1"/>
  <c r="S8" i="1"/>
  <c r="T22" i="1"/>
  <c r="S18" i="1"/>
  <c r="S22" i="1" l="1"/>
  <c r="C39" i="1" s="1" a="1"/>
  <c r="C39" i="1" s="1"/>
  <c r="C43" i="1" s="1"/>
  <c r="V18" i="1"/>
  <c r="S12" i="1"/>
  <c r="C44" i="1" s="1" a="1"/>
  <c r="C44" i="1" s="1"/>
  <c r="V8" i="1"/>
  <c r="S32" i="1"/>
  <c r="V28" i="1"/>
  <c r="V32" i="1" l="1"/>
  <c r="X28" i="1"/>
  <c r="V12" i="1"/>
  <c r="X8" i="1"/>
  <c r="V22" i="1"/>
  <c r="X18" i="1"/>
  <c r="C4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<sst xmlns="http://schemas.openxmlformats.org/spreadsheetml/2006/main" count="100" uniqueCount="39">
  <si>
    <t>Section PL - Profit and Loss Analysis</t>
  </si>
  <si>
    <t/>
  </si>
  <si>
    <t>Price volume analysis</t>
  </si>
  <si>
    <t>FY23A - FY24A</t>
  </si>
  <si>
    <t>Sales</t>
  </si>
  <si>
    <t>Price</t>
  </si>
  <si>
    <t>Units</t>
  </si>
  <si>
    <t>Volume mix</t>
  </si>
  <si>
    <t>Variances</t>
  </si>
  <si>
    <t>Product</t>
  </si>
  <si>
    <t>FY23A</t>
  </si>
  <si>
    <t>FY24A</t>
  </si>
  <si>
    <t>Var</t>
  </si>
  <si>
    <t>Volume</t>
  </si>
  <si>
    <t>Mix</t>
  </si>
  <si>
    <t>Δprice x Δvolume</t>
  </si>
  <si>
    <t>Total</t>
  </si>
  <si>
    <t>Check to revenue variance</t>
  </si>
  <si>
    <t>Product A</t>
  </si>
  <si>
    <t>Product B</t>
  </si>
  <si>
    <t>Product C</t>
  </si>
  <si>
    <t>Product D</t>
  </si>
  <si>
    <t>Check total sales</t>
  </si>
  <si>
    <t>Diff</t>
  </si>
  <si>
    <t>FY22A - FY23A</t>
  </si>
  <si>
    <t>FY22A</t>
  </si>
  <si>
    <t>FY16A</t>
  </si>
  <si>
    <t>FY17A</t>
  </si>
  <si>
    <t>Blanks</t>
  </si>
  <si>
    <t>Rollfed</t>
  </si>
  <si>
    <t>Closures</t>
  </si>
  <si>
    <t>Other</t>
  </si>
  <si>
    <t>Price volume effects on total sales per main category, FY22A - FY24A</t>
  </si>
  <si>
    <t>Data for bridge</t>
  </si>
  <si>
    <t>FY22A sales</t>
  </si>
  <si>
    <t>PxV</t>
  </si>
  <si>
    <t>FY23A sales</t>
  </si>
  <si>
    <t>FY24A sales</t>
  </si>
  <si>
    <t>FY21A - FY22A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</si>
</sst>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;\(#,##0\);&quot; - &quot;"/>
    <numFmt numFmtId="165" formatCode="_-* #,##0.00_-;\-* #,##0.00_-;_-* &quot;-&quot;??_-;_-@_-"/>
    <numFmt numFmtId="166" formatCode="_-* #,##0_-;\-* #,##0_-;_-* &quot;-&quot;??_-;_-@_-"/>
    <numFmt numFmtId="167" formatCode="_ * #,##0.00_ ;_ * \-#,##0.00_ ;_ * &quot;-&quot;??_ ;_ @_ "/>
    <numFmt numFmtId="168" formatCode="_ * #,##0.0_ ;_ * \-#,##0.0_ ;_ * &quot;-&quot;??_ ;_ @_ "/>
    <numFmt numFmtId="169" formatCode="#,##0.0_);\(#,##0.0\);&quot; - &quot;_);@_)"/>
    <numFmt numFmtId="170" formatCode="_(\ #,##0%_);_(\ \(#,##0%\);_(\ &quot; - &quot;\%_);_(@_)"/>
    <numFmt numFmtId="171" formatCode="_-* #,##0.0_-;\-* #,##0.0_-;_-* &quot;-&quot;??_-;_-@_-"/>
    <numFmt numFmtId="172" formatCode="_-* #,##0_)_-;\-* \(#,##0\)_-;_-* &quot;-&quot;_)_-;_-@_-"/>
    <numFmt numFmtId="173" formatCode="#,##0.0;\(#,##0.0\);\-"/>
  </numFmts>
  <fonts count="18" x14ac:knownFonts="1">
    <font>
      <sz val="8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color rgb="FF2E2E38"/>
      <name val="Arial"/>
      <family val="2"/>
    </font>
    <font>
      <sz val="11"/>
      <color rgb="FF2E2E38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8"/>
      <color rgb="FF2E2E38"/>
      <name val="Arial"/>
      <family val="2"/>
    </font>
    <font>
      <b/>
      <sz val="11"/>
      <color rgb="FFFFFFFF"/>
      <name val="Calibri"/>
      <family val="2"/>
    </font>
    <font>
      <b/>
      <sz val="11"/>
      <color rgb="FF2E2E38"/>
      <name val="Arial"/>
      <family val="2"/>
    </font>
    <font>
      <b/>
      <sz val="11"/>
      <color rgb="FF2E2E3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8"/>
      <name val="Arial"/>
      <family val="2"/>
    </font>
    <font>
      <b/>
      <sz val="10"/>
      <color indexed="25"/>
      <name val="Arial Narrow"/>
      <family val="2"/>
    </font>
    <font>
      <sz val="11"/>
      <color rgb="FFFF0000"/>
      <name val="Calibri"/>
      <family val="2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4" fontId="3" fillId="2" borderId="0">
      <alignment horizontal="left" vertical="center"/>
    </xf>
    <xf numFmtId="165" fontId="2" fillId="0" borderId="0" applyFont="0" applyFill="0" applyBorder="0" applyAlignment="0" applyProtection="0"/>
    <xf numFmtId="0" fontId="2" fillId="0" borderId="0"/>
    <xf numFmtId="164" fontId="7" fillId="2" borderId="0"/>
    <xf numFmtId="164" fontId="9" fillId="2" borderId="0">
      <alignment horizontal="left" vertical="center"/>
    </xf>
    <xf numFmtId="0" fontId="15" fillId="0" borderId="1">
      <alignment horizontal="right" wrapText="1"/>
    </xf>
    <xf numFmtId="167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7" fillId="0" borderId="0"/>
  </cellStyleXfs>
  <cellXfs count="78">
    <xf numFmtId="0" fontId="0" fillId="0" borderId="0" xfId="0"/>
    <xf numFmtId="164" fontId="4" fillId="0" borderId="0" xfId="1" applyFont="1" applyFill="1">
      <alignment horizontal="left" vertical="center"/>
    </xf>
    <xf numFmtId="166" fontId="5" fillId="0" borderId="0" xfId="2" applyNumberFormat="1" applyFont="1" applyFill="1" applyBorder="1"/>
    <xf numFmtId="0" fontId="5" fillId="0" borderId="0" xfId="3" applyFont="1"/>
    <xf numFmtId="166" fontId="6" fillId="0" borderId="0" xfId="2" applyNumberFormat="1" applyFont="1" applyBorder="1"/>
    <xf numFmtId="164" fontId="8" fillId="0" borderId="0" xfId="4" quotePrefix="1" applyFont="1" applyFill="1"/>
    <xf numFmtId="166" fontId="8" fillId="0" borderId="0" xfId="2" applyNumberFormat="1" applyFont="1" applyFill="1" applyBorder="1"/>
    <xf numFmtId="0" fontId="8" fillId="0" borderId="0" xfId="3" applyFont="1"/>
    <xf numFmtId="164" fontId="10" fillId="0" borderId="0" xfId="5" applyFont="1" applyFill="1">
      <alignment horizontal="left" vertical="center"/>
    </xf>
    <xf numFmtId="166" fontId="11" fillId="0" borderId="0" xfId="2" applyNumberFormat="1" applyFont="1" applyFill="1" applyBorder="1"/>
    <xf numFmtId="166" fontId="12" fillId="0" borderId="0" xfId="2" applyNumberFormat="1" applyFont="1" applyFill="1" applyBorder="1" applyAlignment="1">
      <alignment horizontal="left"/>
    </xf>
    <xf numFmtId="166" fontId="12" fillId="0" borderId="0" xfId="2" applyNumberFormat="1" applyFont="1" applyFill="1" applyBorder="1" applyAlignment="1">
      <alignment vertical="center"/>
    </xf>
    <xf numFmtId="0" fontId="12" fillId="0" borderId="0" xfId="3" applyFont="1" applyAlignment="1">
      <alignment vertical="center"/>
    </xf>
    <xf numFmtId="166" fontId="12" fillId="0" borderId="0" xfId="2" applyNumberFormat="1" applyFont="1" applyFill="1" applyBorder="1" applyAlignment="1">
      <alignment horizontal="centerContinuous" vertical="center"/>
    </xf>
    <xf numFmtId="166" fontId="11" fillId="0" borderId="0" xfId="2" applyNumberFormat="1" applyFont="1" applyFill="1" applyBorder="1" applyAlignment="1">
      <alignment vertical="center"/>
    </xf>
    <xf numFmtId="0" fontId="11" fillId="0" borderId="0" xfId="3" applyFont="1" applyAlignment="1">
      <alignment vertical="center"/>
    </xf>
    <xf numFmtId="166" fontId="14" fillId="0" borderId="0" xfId="2" applyNumberFormat="1" applyFont="1" applyBorder="1" applyAlignment="1">
      <alignment vertical="center"/>
    </xf>
    <xf numFmtId="0" fontId="12" fillId="0" borderId="2" xfId="6" applyFont="1" applyBorder="1" applyAlignment="1">
      <alignment horizontal="left" vertical="center" wrapText="1"/>
    </xf>
    <xf numFmtId="0" fontId="12" fillId="0" borderId="3" xfId="6" applyFont="1" applyBorder="1" applyAlignment="1">
      <alignment horizontal="right" vertical="center" wrapText="1"/>
    </xf>
    <xf numFmtId="0" fontId="12" fillId="0" borderId="4" xfId="6" applyFont="1" applyBorder="1" applyAlignment="1">
      <alignment horizontal="right" vertical="center" wrapText="1"/>
    </xf>
    <xf numFmtId="168" fontId="11" fillId="0" borderId="0" xfId="7" applyNumberFormat="1" applyFont="1" applyFill="1" applyBorder="1" applyAlignment="1">
      <alignment horizontal="right" vertical="center"/>
    </xf>
    <xf numFmtId="0" fontId="12" fillId="0" borderId="0" xfId="6" applyFont="1" applyBorder="1" applyAlignment="1">
      <alignment horizontal="right" vertical="center" wrapText="1"/>
    </xf>
    <xf numFmtId="0" fontId="12" fillId="0" borderId="2" xfId="6" applyFont="1" applyBorder="1" applyAlignment="1">
      <alignment horizontal="right" vertical="center" wrapText="1"/>
    </xf>
    <xf numFmtId="166" fontId="11" fillId="0" borderId="0" xfId="2" applyNumberFormat="1" applyFont="1" applyFill="1" applyBorder="1" applyAlignment="1">
      <alignment horizontal="right" vertical="center"/>
    </xf>
    <xf numFmtId="166" fontId="11" fillId="0" borderId="0" xfId="2" applyNumberFormat="1" applyFont="1" applyFill="1" applyBorder="1" applyAlignment="1">
      <alignment horizontal="right" vertical="center" wrapText="1"/>
    </xf>
    <xf numFmtId="0" fontId="5" fillId="0" borderId="0" xfId="0" applyFont="1"/>
    <xf numFmtId="169" fontId="11" fillId="0" borderId="0" xfId="7" applyNumberFormat="1" applyFont="1" applyFill="1" applyBorder="1" applyAlignment="1">
      <alignment horizontal="right" vertical="center"/>
    </xf>
    <xf numFmtId="169" fontId="11" fillId="0" borderId="5" xfId="7" applyNumberFormat="1" applyFont="1" applyFill="1" applyBorder="1" applyAlignment="1">
      <alignment horizontal="right" vertical="center"/>
    </xf>
    <xf numFmtId="169" fontId="11" fillId="0" borderId="6" xfId="7" applyNumberFormat="1" applyFont="1" applyFill="1" applyBorder="1" applyAlignment="1">
      <alignment horizontal="right" vertical="center"/>
    </xf>
    <xf numFmtId="0" fontId="11" fillId="0" borderId="0" xfId="3" applyFont="1" applyAlignment="1">
      <alignment horizontal="right" vertical="center"/>
    </xf>
    <xf numFmtId="170" fontId="11" fillId="0" borderId="6" xfId="8" applyNumberFormat="1" applyFont="1" applyFill="1" applyBorder="1" applyAlignment="1">
      <alignment horizontal="right" vertical="center"/>
    </xf>
    <xf numFmtId="170" fontId="11" fillId="0" borderId="0" xfId="8" applyNumberFormat="1" applyFont="1" applyFill="1" applyBorder="1" applyAlignment="1">
      <alignment horizontal="right" vertical="center"/>
    </xf>
    <xf numFmtId="170" fontId="11" fillId="0" borderId="5" xfId="8" applyNumberFormat="1" applyFont="1" applyFill="1" applyBorder="1" applyAlignment="1">
      <alignment horizontal="right" vertical="center"/>
    </xf>
    <xf numFmtId="9" fontId="11" fillId="0" borderId="0" xfId="8" applyFont="1" applyFill="1" applyBorder="1" applyAlignment="1">
      <alignment horizontal="right" vertical="center"/>
    </xf>
    <xf numFmtId="169" fontId="11" fillId="0" borderId="6" xfId="2" applyNumberFormat="1" applyFont="1" applyFill="1" applyBorder="1" applyAlignment="1">
      <alignment horizontal="right" vertical="center"/>
    </xf>
    <xf numFmtId="169" fontId="11" fillId="0" borderId="0" xfId="2" applyNumberFormat="1" applyFont="1" applyFill="1" applyBorder="1" applyAlignment="1">
      <alignment horizontal="right" vertical="center"/>
    </xf>
    <xf numFmtId="169" fontId="12" fillId="0" borderId="5" xfId="2" applyNumberFormat="1" applyFont="1" applyFill="1" applyBorder="1" applyAlignment="1">
      <alignment horizontal="right" vertical="center"/>
    </xf>
    <xf numFmtId="166" fontId="12" fillId="0" borderId="2" xfId="2" applyNumberFormat="1" applyFont="1" applyFill="1" applyBorder="1" applyAlignment="1">
      <alignment horizontal="left" vertical="center"/>
    </xf>
    <xf numFmtId="169" fontId="12" fillId="0" borderId="3" xfId="7" applyNumberFormat="1" applyFont="1" applyFill="1" applyBorder="1" applyAlignment="1">
      <alignment horizontal="right" vertical="center"/>
    </xf>
    <xf numFmtId="169" fontId="12" fillId="0" borderId="4" xfId="7" applyNumberFormat="1" applyFont="1" applyFill="1" applyBorder="1" applyAlignment="1">
      <alignment horizontal="right" vertical="center"/>
    </xf>
    <xf numFmtId="168" fontId="12" fillId="0" borderId="0" xfId="7" applyNumberFormat="1" applyFont="1" applyFill="1" applyBorder="1" applyAlignment="1">
      <alignment horizontal="right" vertical="center"/>
    </xf>
    <xf numFmtId="169" fontId="12" fillId="0" borderId="2" xfId="7" applyNumberFormat="1" applyFont="1" applyFill="1" applyBorder="1" applyAlignment="1">
      <alignment horizontal="right" vertical="center"/>
    </xf>
    <xf numFmtId="170" fontId="12" fillId="0" borderId="2" xfId="8" applyNumberFormat="1" applyFont="1" applyFill="1" applyBorder="1" applyAlignment="1">
      <alignment horizontal="right" vertical="center"/>
    </xf>
    <xf numFmtId="170" fontId="12" fillId="0" borderId="3" xfId="8" applyNumberFormat="1" applyFont="1" applyFill="1" applyBorder="1" applyAlignment="1">
      <alignment horizontal="right" vertical="center"/>
    </xf>
    <xf numFmtId="170" fontId="12" fillId="0" borderId="4" xfId="8" applyNumberFormat="1" applyFont="1" applyFill="1" applyBorder="1" applyAlignment="1">
      <alignment horizontal="right" vertical="center"/>
    </xf>
    <xf numFmtId="9" fontId="12" fillId="0" borderId="0" xfId="8" applyFont="1" applyFill="1" applyBorder="1" applyAlignment="1">
      <alignment horizontal="right" vertical="center"/>
    </xf>
    <xf numFmtId="169" fontId="12" fillId="0" borderId="2" xfId="2" applyNumberFormat="1" applyFont="1" applyFill="1" applyBorder="1" applyAlignment="1">
      <alignment horizontal="right" vertical="center"/>
    </xf>
    <xf numFmtId="169" fontId="12" fillId="0" borderId="3" xfId="2" applyNumberFormat="1" applyFont="1" applyFill="1" applyBorder="1" applyAlignment="1">
      <alignment horizontal="right" vertical="center"/>
    </xf>
    <xf numFmtId="169" fontId="12" fillId="0" borderId="4" xfId="2" applyNumberFormat="1" applyFont="1" applyFill="1" applyBorder="1" applyAlignment="1">
      <alignment horizontal="right" vertical="center"/>
    </xf>
    <xf numFmtId="166" fontId="14" fillId="0" borderId="0" xfId="2" applyNumberFormat="1" applyFont="1" applyFill="1" applyBorder="1" applyAlignment="1">
      <alignment vertical="center"/>
    </xf>
    <xf numFmtId="166" fontId="11" fillId="0" borderId="0" xfId="2" applyNumberFormat="1" applyFont="1" applyFill="1" applyBorder="1" applyAlignment="1">
      <alignment horizontal="left" vertical="center"/>
    </xf>
    <xf numFmtId="171" fontId="5" fillId="0" borderId="0" xfId="2" applyNumberFormat="1" applyFont="1" applyFill="1" applyBorder="1" applyAlignment="1">
      <alignment vertical="center"/>
    </xf>
    <xf numFmtId="170" fontId="11" fillId="0" borderId="0" xfId="2" applyNumberFormat="1" applyFont="1" applyFill="1" applyBorder="1" applyAlignment="1">
      <alignment vertical="center"/>
    </xf>
    <xf numFmtId="165" fontId="11" fillId="0" borderId="0" xfId="2" applyFont="1" applyFill="1" applyBorder="1" applyAlignment="1">
      <alignment vertical="center"/>
    </xf>
    <xf numFmtId="171" fontId="16" fillId="0" borderId="0" xfId="2" applyNumberFormat="1" applyFont="1" applyFill="1" applyBorder="1" applyAlignment="1">
      <alignment vertical="center"/>
    </xf>
    <xf numFmtId="170" fontId="12" fillId="0" borderId="0" xfId="2" applyNumberFormat="1" applyFont="1" applyFill="1" applyBorder="1" applyAlignment="1">
      <alignment vertical="center"/>
    </xf>
    <xf numFmtId="172" fontId="11" fillId="0" borderId="0" xfId="9" applyFont="1" applyAlignment="1">
      <alignment vertical="center"/>
    </xf>
    <xf numFmtId="172" fontId="14" fillId="0" borderId="0" xfId="9" applyFont="1" applyAlignment="1">
      <alignment vertical="center"/>
    </xf>
    <xf numFmtId="172" fontId="11" fillId="0" borderId="0" xfId="9" applyFont="1" applyAlignment="1">
      <alignment horizontal="left" vertical="center"/>
    </xf>
    <xf numFmtId="172" fontId="12" fillId="0" borderId="0" xfId="9" applyFont="1" applyAlignment="1">
      <alignment horizontal="left"/>
    </xf>
    <xf numFmtId="166" fontId="11" fillId="0" borderId="6" xfId="2" applyNumberFormat="1" applyFont="1" applyFill="1" applyBorder="1" applyAlignment="1">
      <alignment horizontal="left" vertical="center"/>
    </xf>
    <xf numFmtId="172" fontId="11" fillId="0" borderId="0" xfId="9" applyFont="1"/>
    <xf numFmtId="172" fontId="14" fillId="0" borderId="0" xfId="9" applyFont="1"/>
    <xf numFmtId="166" fontId="12" fillId="0" borderId="7" xfId="2" applyNumberFormat="1" applyFont="1" applyFill="1" applyBorder="1"/>
    <xf numFmtId="166" fontId="11" fillId="0" borderId="7" xfId="2" applyNumberFormat="1" applyFont="1" applyFill="1" applyBorder="1"/>
    <xf numFmtId="0" fontId="5" fillId="0" borderId="7" xfId="3" applyFont="1" applyBorder="1"/>
    <xf numFmtId="166" fontId="5" fillId="0" borderId="7" xfId="2" applyNumberFormat="1" applyFont="1" applyFill="1" applyBorder="1"/>
    <xf numFmtId="166" fontId="12" fillId="0" borderId="8" xfId="2" applyNumberFormat="1" applyFont="1" applyFill="1" applyBorder="1"/>
    <xf numFmtId="172" fontId="11" fillId="0" borderId="9" xfId="9" applyFont="1" applyBorder="1"/>
    <xf numFmtId="166" fontId="12" fillId="0" borderId="10" xfId="2" applyNumberFormat="1" applyFont="1" applyFill="1" applyBorder="1"/>
    <xf numFmtId="171" fontId="11" fillId="0" borderId="11" xfId="9" applyNumberFormat="1" applyFont="1" applyBorder="1"/>
    <xf numFmtId="166" fontId="11" fillId="0" borderId="10" xfId="2" applyNumberFormat="1" applyFont="1" applyFill="1" applyBorder="1"/>
    <xf numFmtId="171" fontId="5" fillId="0" borderId="11" xfId="2" applyNumberFormat="1" applyFont="1" applyFill="1" applyBorder="1"/>
    <xf numFmtId="166" fontId="12" fillId="0" borderId="12" xfId="2" applyNumberFormat="1" applyFont="1" applyFill="1" applyBorder="1"/>
    <xf numFmtId="171" fontId="5" fillId="0" borderId="13" xfId="2" applyNumberFormat="1" applyFont="1" applyFill="1" applyBorder="1"/>
    <xf numFmtId="173" fontId="5" fillId="0" borderId="0" xfId="2" applyNumberFormat="1" applyFont="1" applyFill="1" applyBorder="1"/>
    <xf numFmtId="0" fontId="6" fillId="0" borderId="0" xfId="3" applyFont="1"/>
    <xf numFmtId="166" fontId="13" fillId="0" borderId="0" xfId="2" applyNumberFormat="1" applyFont="1" applyFill="1" applyBorder="1" applyAlignment="1">
      <alignment horizontal="center" vertical="center"/>
    </xf>
  </cellXfs>
  <cellStyles count="10">
    <cellStyle name="Comma 4" xfId="7" xr:uid="{A9B3EA60-2E70-49B4-B499-F42340F53CB0}"/>
    <cellStyle name="Comma 4 4" xfId="2" xr:uid="{222DD77C-B340-48F1-95C5-323792CCFB64}"/>
    <cellStyle name="DBASectionHeader" xfId="1" xr:uid="{FC164FBD-BB8B-4DF0-A648-B91007057AC9}"/>
    <cellStyle name="DBAsmallheading" xfId="4" xr:uid="{A9FC2072-18D6-417C-BC06-7332F1492D5D}"/>
    <cellStyle name="DBATitle" xfId="5" xr:uid="{DF340D77-AAD8-4324-A476-A7E94D97B85D}"/>
    <cellStyle name="EYColumnHeading 3" xfId="6" xr:uid="{90BDAFDF-22E0-4B52-A9A2-895CA30F545A}"/>
    <cellStyle name="Normal" xfId="0" builtinId="0"/>
    <cellStyle name="Normal 2 4" xfId="9" xr:uid="{2307C773-D8B3-4E17-AA75-CC2F5A5C68C2}"/>
    <cellStyle name="Normal 4 7" xfId="3" xr:uid="{1AFE245C-292F-478B-BB6D-84AC8BB9424E}"/>
    <cellStyle name="Percent 3 3" xfId="8" xr:uid="{76B7C5A9-B0F9-4381-A272-44D257D1FE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8BB4DFC3-1F5D-4AEC-A090-0B4CE5E140F7}"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rgbClr val="2E2E38">
                      <a:lumMod val="65000"/>
                      <a:lumOff val="35000"/>
                    </a:srgbClr>
                  </a:solidFill>
                  <a:latin typeface="Arial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5"/>
              <cx:idx val="10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rgbClr val="2E2E38">
                  <a:lumMod val="65000"/>
                  <a:lumOff val="35000"/>
                </a:srgbClr>
              </a:solidFill>
              <a:latin typeface="Arial"/>
            </a:endParaRPr>
          </a:p>
        </cx:txPr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86967</xdr:colOff>
      <xdr:row>35</xdr:row>
      <xdr:rowOff>11596</xdr:rowOff>
    </xdr:from>
    <xdr:to>
      <xdr:col>19</xdr:col>
      <xdr:colOff>76200</xdr:colOff>
      <xdr:row>53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6352724-F85C-4C3B-83FB-99E3A41A6E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49317" y="6555271"/>
              <a:ext cx="7904508" cy="24649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UpSlide Theme">
  <a:themeElements>
    <a:clrScheme name="EY Official">
      <a:dk1>
        <a:srgbClr val="2E2E38"/>
      </a:dk1>
      <a:lt1>
        <a:srgbClr val="FFFFFF"/>
      </a:lt1>
      <a:dk2>
        <a:srgbClr val="FFE600"/>
      </a:dk2>
      <a:lt2>
        <a:srgbClr val="000000"/>
      </a:lt2>
      <a:accent1>
        <a:srgbClr val="2DB757"/>
      </a:accent1>
      <a:accent2>
        <a:srgbClr val="27ACAA"/>
      </a:accent2>
      <a:accent3>
        <a:srgbClr val="188CE5"/>
      </a:accent3>
      <a:accent4>
        <a:srgbClr val="3D108A"/>
      </a:accent4>
      <a:accent5>
        <a:srgbClr val="FF4136"/>
      </a:accent5>
      <a:accent6>
        <a:srgbClr val="FF6D00"/>
      </a:accent6>
      <a:hlink>
        <a:srgbClr val="0000FF"/>
      </a:hlink>
      <a:folHlink>
        <a:srgbClr val="800080"/>
      </a:folHlink>
    </a:clrScheme>
    <a:fontScheme name="Custom 8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B94CB-13B6-4796-B7ED-EADC8AEF0C05}">
  <sheetPr codeName="Sheet15"/>
  <dimension ref="A1:AF66"/>
  <sheetViews>
    <sheetView showGridLines="0" tabSelected="1" zoomScaleNormal="100" zoomScaleSheetLayoutView="40" workbookViewId="0">
      <selection activeCell="A27" sqref="A27"/>
    </sheetView>
  </sheetViews>
  <sheetFormatPr defaultColWidth="9.33203125" defaultRowHeight="15" customHeight="1" outlineLevelRow="1" outlineLevelCol="1" x14ac:dyDescent="0.2"/>
  <cols>
    <col min="1" max="1" width="22" style="4" customWidth="1"/>
    <col min="2" max="3" width="13.83203125" style="4" bestFit="1" customWidth="1"/>
    <col min="4" max="4" width="12.6640625" style="4" bestFit="1" customWidth="1"/>
    <col min="5" max="5" width="3.5" style="4" customWidth="1"/>
    <col min="6" max="6" width="9.1640625" style="4" bestFit="1" customWidth="1"/>
    <col min="7" max="8" width="8.5" style="4" bestFit="1" customWidth="1"/>
    <col min="9" max="9" width="3" style="76" customWidth="1"/>
    <col min="10" max="11" width="12.6640625" style="4" bestFit="1" customWidth="1"/>
    <col min="12" max="12" width="9.6640625" style="4" bestFit="1" customWidth="1"/>
    <col min="13" max="13" width="3" style="76" customWidth="1"/>
    <col min="14" max="14" width="10" style="4" bestFit="1" customWidth="1"/>
    <col min="15" max="16" width="13.6640625" style="4" customWidth="1"/>
    <col min="17" max="17" width="3" style="4" customWidth="1"/>
    <col min="18" max="18" width="13.83203125" style="4" bestFit="1" customWidth="1"/>
    <col min="19" max="20" width="13.6640625" style="4" customWidth="1"/>
    <col min="21" max="21" width="13.83203125" style="4" bestFit="1" customWidth="1"/>
    <col min="22" max="22" width="13.5" style="4" customWidth="1"/>
    <col min="23" max="23" width="4.5" style="4" customWidth="1" outlineLevel="1"/>
    <col min="24" max="24" width="15.33203125" style="4" customWidth="1" outlineLevel="1"/>
    <col min="25" max="25" width="4.33203125" style="4" customWidth="1"/>
    <col min="26" max="29" width="9.33203125" style="4"/>
    <col min="30" max="30" width="9.6640625" style="4" bestFit="1" customWidth="1"/>
    <col min="31" max="31" width="9.33203125" style="4"/>
    <col min="32" max="32" width="9.6640625" style="4" bestFit="1" customWidth="1"/>
    <col min="33" max="16384" width="9.33203125" style="4"/>
  </cols>
  <sheetData>
    <row r="1" spans="1:32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  <c r="AA1" s="2"/>
      <c r="AB1" s="2"/>
      <c r="AC1" s="2"/>
      <c r="AD1" s="2"/>
      <c r="AE1" s="2"/>
      <c r="AF1" s="2"/>
    </row>
    <row r="2" spans="1:32" ht="15" customHeight="1" x14ac:dyDescent="0.25">
      <c r="A2" s="5" t="s">
        <v>1</v>
      </c>
      <c r="B2" s="6"/>
      <c r="C2" s="6"/>
      <c r="D2" s="6"/>
      <c r="E2" s="6"/>
      <c r="F2" s="6"/>
      <c r="G2" s="6"/>
      <c r="H2" s="6"/>
      <c r="I2" s="7"/>
      <c r="J2" s="6"/>
      <c r="K2" s="6"/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6"/>
      <c r="Y2" s="6"/>
      <c r="Z2" s="6"/>
      <c r="AA2" s="6"/>
      <c r="AB2" s="6"/>
      <c r="AC2" s="6"/>
      <c r="AD2" s="6"/>
      <c r="AE2" s="6"/>
      <c r="AF2" s="6"/>
    </row>
    <row r="3" spans="1:32" ht="15" customHeight="1" x14ac:dyDescent="0.25">
      <c r="A3" s="8" t="s">
        <v>2</v>
      </c>
      <c r="B3" s="2"/>
      <c r="C3" s="2"/>
      <c r="D3" s="2"/>
      <c r="E3" s="2"/>
      <c r="F3" s="2"/>
      <c r="G3" s="2"/>
      <c r="H3" s="2"/>
      <c r="I3" s="3"/>
      <c r="J3" s="9"/>
      <c r="K3" s="9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2"/>
      <c r="Y3" s="2"/>
      <c r="Z3" s="2"/>
      <c r="AA3" s="2"/>
      <c r="AB3" s="2"/>
      <c r="AC3" s="2"/>
      <c r="AD3" s="2"/>
      <c r="AE3" s="2"/>
      <c r="AF3" s="2"/>
    </row>
    <row r="4" spans="1:32" ht="15" customHeight="1" x14ac:dyDescent="0.25">
      <c r="A4" s="2"/>
      <c r="B4" s="2"/>
      <c r="C4" s="2"/>
      <c r="D4" s="2"/>
      <c r="E4" s="2"/>
      <c r="F4" s="2"/>
      <c r="G4" s="2"/>
      <c r="H4" s="2"/>
      <c r="I4" s="3"/>
      <c r="J4" s="2"/>
      <c r="K4" s="2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2"/>
      <c r="Y4" s="2"/>
      <c r="Z4" s="3"/>
      <c r="AA4" s="2"/>
      <c r="AB4" s="2"/>
      <c r="AC4" s="2"/>
      <c r="AD4" s="2"/>
      <c r="AE4" s="2"/>
      <c r="AF4" s="2"/>
    </row>
    <row r="5" spans="1:32" ht="15" customHeight="1" x14ac:dyDescent="0.25">
      <c r="A5" s="2"/>
      <c r="B5" s="2"/>
      <c r="C5" s="2"/>
      <c r="D5" s="2"/>
      <c r="E5" s="2"/>
      <c r="F5" s="2"/>
      <c r="G5" s="2"/>
      <c r="H5" s="2"/>
      <c r="I5" s="3"/>
      <c r="J5" s="2"/>
      <c r="K5" s="2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2"/>
      <c r="AB5" s="2"/>
      <c r="AC5" s="2"/>
      <c r="AD5" s="2"/>
      <c r="AE5" s="2"/>
      <c r="AF5" s="2"/>
    </row>
    <row r="6" spans="1:32" s="16" customFormat="1" ht="15" customHeight="1" x14ac:dyDescent="0.25">
      <c r="A6" s="10" t="s">
        <v>3</v>
      </c>
      <c r="B6" s="77" t="s">
        <v>4</v>
      </c>
      <c r="C6" s="77"/>
      <c r="D6" s="77"/>
      <c r="E6" s="11"/>
      <c r="F6" s="77" t="s">
        <v>5</v>
      </c>
      <c r="G6" s="77"/>
      <c r="H6" s="77"/>
      <c r="I6" s="12"/>
      <c r="J6" s="77" t="s">
        <v>6</v>
      </c>
      <c r="K6" s="77"/>
      <c r="L6" s="77"/>
      <c r="M6" s="12"/>
      <c r="N6" s="77" t="s">
        <v>7</v>
      </c>
      <c r="O6" s="77"/>
      <c r="P6" s="77"/>
      <c r="Q6" s="13"/>
      <c r="R6" s="77" t="s">
        <v>8</v>
      </c>
      <c r="S6" s="77"/>
      <c r="T6" s="77"/>
      <c r="U6" s="77"/>
      <c r="V6" s="77"/>
      <c r="W6" s="14"/>
      <c r="X6" s="11"/>
      <c r="Y6" s="14"/>
      <c r="Z6" s="15"/>
      <c r="AA6" s="14"/>
      <c r="AB6" s="14"/>
      <c r="AC6" s="14"/>
      <c r="AD6" s="14"/>
      <c r="AE6" s="14"/>
      <c r="AF6" s="14"/>
    </row>
    <row r="7" spans="1:32" s="16" customFormat="1" ht="21.95" customHeight="1" x14ac:dyDescent="0.2">
      <c r="A7" s="17" t="s">
        <v>9</v>
      </c>
      <c r="B7" s="18" t="s">
        <v>10</v>
      </c>
      <c r="C7" s="18" t="s">
        <v>11</v>
      </c>
      <c r="D7" s="19" t="s">
        <v>12</v>
      </c>
      <c r="E7" s="20"/>
      <c r="F7" s="18" t="s">
        <v>10</v>
      </c>
      <c r="G7" s="18" t="s">
        <v>11</v>
      </c>
      <c r="H7" s="19" t="s">
        <v>12</v>
      </c>
      <c r="I7" s="21"/>
      <c r="J7" s="18" t="s">
        <v>10</v>
      </c>
      <c r="K7" s="18" t="s">
        <v>11</v>
      </c>
      <c r="L7" s="19" t="s">
        <v>12</v>
      </c>
      <c r="M7" s="21"/>
      <c r="N7" s="18" t="s">
        <v>10</v>
      </c>
      <c r="O7" s="18" t="s">
        <v>11</v>
      </c>
      <c r="P7" s="19" t="s">
        <v>12</v>
      </c>
      <c r="Q7" s="21"/>
      <c r="R7" s="22" t="s">
        <v>5</v>
      </c>
      <c r="S7" s="18" t="s">
        <v>13</v>
      </c>
      <c r="T7" s="18" t="s">
        <v>14</v>
      </c>
      <c r="U7" s="18" t="s">
        <v>15</v>
      </c>
      <c r="V7" s="19" t="s">
        <v>16</v>
      </c>
      <c r="W7" s="23"/>
      <c r="X7" s="24" t="s">
        <v>17</v>
      </c>
      <c r="Y7" s="14"/>
      <c r="Z7" s="15"/>
      <c r="AA7" s="14"/>
      <c r="AB7" s="14"/>
      <c r="AC7" s="14"/>
      <c r="AD7" s="14"/>
      <c r="AE7" s="14"/>
      <c r="AF7" s="14"/>
    </row>
    <row r="8" spans="1:32" s="16" customFormat="1" ht="15" customHeight="1" x14ac:dyDescent="0.25">
      <c r="A8" s="25" t="s">
        <v>18</v>
      </c>
      <c r="B8" s="26">
        <f>F8*J8</f>
        <v>0</v>
      </c>
      <c r="C8" s="26">
        <f>G8*K8</f>
        <v>0</v>
      </c>
      <c r="D8" s="27">
        <f t="shared" ref="D8:D11" si="0">C8-B8</f>
        <v>0</v>
      </c>
      <c r="E8" s="20"/>
      <c r="F8" s="28"/>
      <c r="G8" s="26"/>
      <c r="H8" s="27">
        <f>G8-F8</f>
        <v>0</v>
      </c>
      <c r="I8" s="20"/>
      <c r="J8" s="28"/>
      <c r="K8" s="26"/>
      <c r="L8" s="27">
        <f>K8-J8</f>
        <v>0</v>
      </c>
      <c r="M8" s="29"/>
      <c r="N8" s="30">
        <f>IFERROR(J8/J$12, 0)</f>
        <v>0</v>
      </c>
      <c r="O8" s="31">
        <f>IFERROR(K8/K$12, 0)</f>
        <v>0</v>
      </c>
      <c r="P8" s="32">
        <f>IFERROR(O8-N8, 0)</f>
        <v>0</v>
      </c>
      <c r="Q8" s="33"/>
      <c r="R8" s="34">
        <f>J8*H8</f>
        <v>0</v>
      </c>
      <c r="S8" s="35">
        <f>F8*L8-T8</f>
        <v>0</v>
      </c>
      <c r="T8" s="35">
        <f>$K$12*(F8-$F$12)*P8</f>
        <v>0</v>
      </c>
      <c r="U8" s="35">
        <f t="shared" ref="U8:U11" si="1">H8*L8</f>
        <v>0</v>
      </c>
      <c r="V8" s="36">
        <f t="shared" ref="V8:V11" si="2">SUM(R8:U8)</f>
        <v>0</v>
      </c>
      <c r="W8" s="35"/>
      <c r="X8" s="35">
        <f t="shared" ref="X8:X11" si="3">D8-V8</f>
        <v>0</v>
      </c>
      <c r="Y8" s="14"/>
      <c r="Z8" s="15"/>
      <c r="AA8" s="14"/>
      <c r="AB8" s="14"/>
      <c r="AC8" s="14"/>
      <c r="AD8" s="14"/>
      <c r="AE8" s="14"/>
      <c r="AF8" s="14"/>
    </row>
    <row r="9" spans="1:32" s="16" customFormat="1" ht="15" customHeight="1" x14ac:dyDescent="0.25">
      <c r="A9" s="25" t="s">
        <v>19</v>
      </c>
      <c r="B9" s="26">
        <f>F9*J9</f>
        <v>0</v>
      </c>
      <c r="C9" s="26">
        <f>G9*K9</f>
        <v>0</v>
      </c>
      <c r="D9" s="27">
        <f t="shared" si="0"/>
        <v>0</v>
      </c>
      <c r="E9" s="20"/>
      <c r="F9" s="28"/>
      <c r="G9" s="26"/>
      <c r="H9" s="27">
        <f>G9-F9</f>
        <v>0</v>
      </c>
      <c r="I9" s="20"/>
      <c r="J9" s="28"/>
      <c r="K9" s="26"/>
      <c r="L9" s="27">
        <f>K9-J9</f>
        <v>0</v>
      </c>
      <c r="M9" s="29"/>
      <c r="N9" s="30">
        <f>IFERROR(J9/J$12, 0)</f>
        <v>0</v>
      </c>
      <c r="O9" s="31">
        <f>IFERROR(K9/K$12, 0)</f>
        <v>0</v>
      </c>
      <c r="P9" s="32">
        <f>IFERROR(O9-N9, 0)</f>
        <v>0</v>
      </c>
      <c r="Q9" s="33"/>
      <c r="R9" s="34">
        <f>J9*H9</f>
        <v>0</v>
      </c>
      <c r="S9" s="35">
        <f>F9*L9-T9</f>
        <v>0</v>
      </c>
      <c r="T9" s="35">
        <f>$K$12*(F9-$F$12)*P9</f>
        <v>0</v>
      </c>
      <c r="U9" s="35">
        <f t="shared" si="1"/>
        <v>0</v>
      </c>
      <c r="V9" s="36">
        <f t="shared" si="2"/>
        <v>0</v>
      </c>
      <c r="W9" s="35"/>
      <c r="X9" s="35">
        <f t="shared" si="3"/>
        <v>0</v>
      </c>
      <c r="Y9" s="14"/>
      <c r="Z9" s="15"/>
      <c r="AA9" s="14"/>
      <c r="AB9" s="14"/>
      <c r="AC9" s="14"/>
      <c r="AD9" s="14"/>
      <c r="AE9" s="14"/>
      <c r="AF9" s="14"/>
    </row>
    <row r="10" spans="1:32" s="16" customFormat="1" ht="15" customHeight="1" x14ac:dyDescent="0.25">
      <c r="A10" s="25" t="s">
        <v>20</v>
      </c>
      <c r="B10" s="26">
        <f t="shared" ref="B10:C11" si="4">F10*J10</f>
        <v>0</v>
      </c>
      <c r="C10" s="26">
        <f t="shared" si="4"/>
        <v>0</v>
      </c>
      <c r="D10" s="27">
        <f t="shared" si="0"/>
        <v>0</v>
      </c>
      <c r="E10" s="20"/>
      <c r="F10" s="28"/>
      <c r="G10" s="26"/>
      <c r="H10" s="27">
        <f t="shared" ref="H10:H12" si="5">G10-F10</f>
        <v>0</v>
      </c>
      <c r="I10" s="20"/>
      <c r="J10" s="28"/>
      <c r="K10" s="26"/>
      <c r="L10" s="27">
        <f t="shared" ref="L10:L12" si="6">K10-J10</f>
        <v>0</v>
      </c>
      <c r="M10" s="29"/>
      <c r="N10" s="30">
        <f>IFERROR(J10/J$12, 0)</f>
        <v>0</v>
      </c>
      <c r="O10" s="31">
        <f>IFERROR(K10/K$12, 0)</f>
        <v>0</v>
      </c>
      <c r="P10" s="32">
        <f>IFERROR(O10-N10, 0)</f>
        <v>0</v>
      </c>
      <c r="Q10" s="33"/>
      <c r="R10" s="34">
        <f t="shared" ref="R10:R11" si="7">J10*H10</f>
        <v>0</v>
      </c>
      <c r="S10" s="35">
        <f t="shared" ref="S10:S11" si="8">F10*L10-T10</f>
        <v>0</v>
      </c>
      <c r="T10" s="35">
        <f>$K$12*(F10-$F$12)*P10</f>
        <v>0</v>
      </c>
      <c r="U10" s="35">
        <f t="shared" si="1"/>
        <v>0</v>
      </c>
      <c r="V10" s="36">
        <f t="shared" si="2"/>
        <v>0</v>
      </c>
      <c r="W10" s="35"/>
      <c r="X10" s="35">
        <f t="shared" si="3"/>
        <v>0</v>
      </c>
      <c r="Y10" s="14"/>
      <c r="Z10" s="15"/>
      <c r="AA10" s="14"/>
      <c r="AB10" s="14"/>
      <c r="AC10" s="14"/>
      <c r="AD10" s="14"/>
      <c r="AE10" s="14"/>
      <c r="AF10" s="14"/>
    </row>
    <row r="11" spans="1:32" s="16" customFormat="1" ht="15" customHeight="1" x14ac:dyDescent="0.25">
      <c r="A11" s="25" t="s">
        <v>21</v>
      </c>
      <c r="B11" s="26">
        <f t="shared" si="4"/>
        <v>0</v>
      </c>
      <c r="C11" s="26">
        <f t="shared" si="4"/>
        <v>0</v>
      </c>
      <c r="D11" s="27">
        <f t="shared" si="0"/>
        <v>0</v>
      </c>
      <c r="E11" s="20"/>
      <c r="F11" s="28"/>
      <c r="G11" s="26"/>
      <c r="H11" s="27">
        <f t="shared" si="5"/>
        <v>0</v>
      </c>
      <c r="I11" s="20"/>
      <c r="J11" s="28"/>
      <c r="K11" s="26"/>
      <c r="L11" s="27">
        <f t="shared" si="6"/>
        <v>0</v>
      </c>
      <c r="M11" s="29"/>
      <c r="N11" s="30">
        <f>IFERROR(J11/J$12, 0)</f>
        <v>0</v>
      </c>
      <c r="O11" s="31">
        <f>IFERROR(K11/K$12, 0)</f>
        <v>0</v>
      </c>
      <c r="P11" s="32">
        <f>IFERROR(O11-N11, 0)</f>
        <v>0</v>
      </c>
      <c r="Q11" s="33"/>
      <c r="R11" s="34">
        <f t="shared" si="7"/>
        <v>0</v>
      </c>
      <c r="S11" s="35">
        <f t="shared" si="8"/>
        <v>0</v>
      </c>
      <c r="T11" s="35">
        <f>$K$12*(F11-$F$12)*P11</f>
        <v>0</v>
      </c>
      <c r="U11" s="35">
        <f t="shared" si="1"/>
        <v>0</v>
      </c>
      <c r="V11" s="36">
        <f t="shared" si="2"/>
        <v>0</v>
      </c>
      <c r="W11" s="35"/>
      <c r="X11" s="35">
        <f t="shared" si="3"/>
        <v>0</v>
      </c>
      <c r="Y11" s="14"/>
      <c r="Z11" s="15"/>
      <c r="AA11" s="14"/>
      <c r="AB11" s="14"/>
      <c r="AC11" s="14"/>
      <c r="AD11" s="14"/>
      <c r="AE11" s="14"/>
      <c r="AF11" s="14"/>
    </row>
    <row r="12" spans="1:32" s="49" customFormat="1" ht="15" customHeight="1" x14ac:dyDescent="0.2">
      <c r="A12" s="37" t="s">
        <v>16</v>
      </c>
      <c r="B12" s="38">
        <f>SUM(B8:B11)</f>
        <v>0</v>
      </c>
      <c r="C12" s="38">
        <f>SUM(C8:C11)</f>
        <v>0</v>
      </c>
      <c r="D12" s="39">
        <f>SUM(D8:D11)</f>
        <v>0</v>
      </c>
      <c r="E12" s="40"/>
      <c r="F12" s="41">
        <f>IFERROR(B12/J12, 0)</f>
        <v>0</v>
      </c>
      <c r="G12" s="38">
        <f>IFERROR(C12/K12, 0)</f>
        <v>0</v>
      </c>
      <c r="H12" s="39">
        <f>IFERROR(G12-F12, 0)</f>
        <v>0</v>
      </c>
      <c r="I12" s="20"/>
      <c r="J12" s="41">
        <f>SUM(J8:J11)</f>
        <v>0</v>
      </c>
      <c r="K12" s="38">
        <f>SUM(K8:K11)</f>
        <v>0</v>
      </c>
      <c r="L12" s="39">
        <f t="shared" si="6"/>
        <v>0</v>
      </c>
      <c r="M12" s="29"/>
      <c r="N12" s="42">
        <f>IFERROR(SUM(N8:N11), 0)</f>
        <v>0</v>
      </c>
      <c r="O12" s="43">
        <f>IFERROR(SUM(O8:O11), 0)</f>
        <v>0</v>
      </c>
      <c r="P12" s="44">
        <f>IFERROR(O12-N12, 0)</f>
        <v>0</v>
      </c>
      <c r="Q12" s="45"/>
      <c r="R12" s="46">
        <f>SUM(R8:R11)</f>
        <v>0</v>
      </c>
      <c r="S12" s="47">
        <f>SUM(S8:S11)</f>
        <v>0</v>
      </c>
      <c r="T12" s="47">
        <f>SUM(T8:T11)</f>
        <v>0</v>
      </c>
      <c r="U12" s="47">
        <f>SUM(U8:U11)</f>
        <v>0</v>
      </c>
      <c r="V12" s="48">
        <f>SUM(V8:V11)</f>
        <v>0</v>
      </c>
      <c r="W12" s="35"/>
      <c r="X12" s="35"/>
      <c r="Y12" s="14"/>
      <c r="Z12" s="15"/>
      <c r="AA12" s="14"/>
      <c r="AB12" s="14"/>
      <c r="AC12" s="14"/>
      <c r="AD12" s="14"/>
      <c r="AE12" s="14"/>
      <c r="AF12" s="14"/>
    </row>
    <row r="13" spans="1:32" s="16" customFormat="1" ht="15" customHeight="1" outlineLevel="1" x14ac:dyDescent="0.2">
      <c r="A13" s="50" t="s">
        <v>22</v>
      </c>
      <c r="B13" s="51"/>
      <c r="C13" s="51"/>
      <c r="D13" s="14"/>
      <c r="E13" s="14"/>
      <c r="F13" s="14"/>
      <c r="G13" s="14"/>
      <c r="H13" s="14"/>
      <c r="I13" s="15"/>
      <c r="J13" s="14"/>
      <c r="K13" s="14"/>
      <c r="L13" s="14"/>
      <c r="M13" s="15"/>
      <c r="N13" s="52"/>
      <c r="O13" s="52"/>
      <c r="P13" s="52"/>
      <c r="Q13" s="14"/>
      <c r="R13" s="14"/>
      <c r="S13" s="14"/>
      <c r="T13" s="14"/>
      <c r="U13" s="14"/>
      <c r="V13" s="14"/>
      <c r="W13" s="14"/>
      <c r="X13" s="14"/>
      <c r="Y13" s="14"/>
      <c r="Z13" s="15"/>
      <c r="AA13" s="14"/>
      <c r="AB13" s="14"/>
      <c r="AC13" s="14"/>
      <c r="AD13" s="14"/>
      <c r="AE13" s="14"/>
      <c r="AF13" s="53"/>
    </row>
    <row r="14" spans="1:32" s="16" customFormat="1" ht="15" customHeight="1" outlineLevel="1" x14ac:dyDescent="0.2">
      <c r="A14" s="50" t="s">
        <v>23</v>
      </c>
      <c r="B14" s="51">
        <f>+B12-B13</f>
        <v>0</v>
      </c>
      <c r="C14" s="51">
        <f>+C12-C13</f>
        <v>0</v>
      </c>
      <c r="D14" s="14"/>
      <c r="E14" s="14"/>
      <c r="F14" s="14"/>
      <c r="G14" s="14"/>
      <c r="H14" s="14"/>
      <c r="I14" s="15"/>
      <c r="J14" s="14"/>
      <c r="K14" s="14"/>
      <c r="L14" s="14"/>
      <c r="M14" s="15"/>
      <c r="N14" s="52"/>
      <c r="O14" s="52"/>
      <c r="P14" s="52"/>
      <c r="Q14" s="14"/>
      <c r="R14" s="14"/>
      <c r="S14" s="14"/>
      <c r="T14" s="14"/>
      <c r="U14" s="14"/>
      <c r="V14" s="14"/>
      <c r="W14" s="14"/>
      <c r="X14" s="14"/>
      <c r="Y14" s="14"/>
      <c r="Z14" s="15"/>
      <c r="AA14" s="14"/>
      <c r="AB14" s="14"/>
      <c r="AC14" s="14"/>
      <c r="AD14" s="14"/>
      <c r="AE14" s="14"/>
      <c r="AF14" s="53"/>
    </row>
    <row r="15" spans="1:32" s="16" customFormat="1" ht="15" customHeight="1" x14ac:dyDescent="0.2">
      <c r="A15" s="50"/>
      <c r="B15" s="54"/>
      <c r="C15" s="54"/>
      <c r="D15" s="14"/>
      <c r="E15" s="14"/>
      <c r="F15" s="14"/>
      <c r="G15" s="14"/>
      <c r="H15" s="14"/>
      <c r="I15" s="15"/>
      <c r="J15" s="14"/>
      <c r="K15" s="14"/>
      <c r="L15" s="14"/>
      <c r="M15" s="15"/>
      <c r="N15" s="52"/>
      <c r="O15" s="52"/>
      <c r="P15" s="52"/>
      <c r="Q15" s="14"/>
      <c r="R15" s="14"/>
      <c r="S15" s="14"/>
      <c r="T15" s="14"/>
      <c r="U15" s="14"/>
      <c r="V15" s="14"/>
      <c r="W15" s="14"/>
      <c r="X15" s="14"/>
      <c r="Y15" s="14"/>
      <c r="Z15" s="15"/>
      <c r="AA15" s="14"/>
      <c r="AB15" s="14"/>
      <c r="AC15" s="14"/>
      <c r="AD15" s="14"/>
      <c r="AE15" s="14"/>
      <c r="AF15" s="53"/>
    </row>
    <row r="16" spans="1:32" s="16" customFormat="1" ht="15" customHeight="1" x14ac:dyDescent="0.25">
      <c r="A16" s="10" t="s">
        <v>24</v>
      </c>
      <c r="B16" s="14"/>
      <c r="C16" s="14"/>
      <c r="D16" s="14"/>
      <c r="E16" s="14"/>
      <c r="F16" s="14"/>
      <c r="G16" s="14"/>
      <c r="H16" s="14"/>
      <c r="I16" s="15"/>
      <c r="J16" s="14"/>
      <c r="K16" s="14"/>
      <c r="L16" s="14"/>
      <c r="M16" s="15"/>
      <c r="N16" s="55"/>
      <c r="O16" s="52"/>
      <c r="P16" s="52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spans="1:32" s="57" customFormat="1" ht="21.95" customHeight="1" x14ac:dyDescent="0.2">
      <c r="A17" s="17" t="s">
        <v>9</v>
      </c>
      <c r="B17" s="18" t="s">
        <v>25</v>
      </c>
      <c r="C17" s="18" t="s">
        <v>10</v>
      </c>
      <c r="D17" s="19" t="s">
        <v>12</v>
      </c>
      <c r="E17" s="21"/>
      <c r="F17" s="19" t="s">
        <v>25</v>
      </c>
      <c r="G17" s="18" t="s">
        <v>10</v>
      </c>
      <c r="H17" s="19" t="s">
        <v>12</v>
      </c>
      <c r="I17" s="21"/>
      <c r="J17" s="18" t="s">
        <v>25</v>
      </c>
      <c r="K17" s="18" t="s">
        <v>10</v>
      </c>
      <c r="L17" s="19" t="s">
        <v>12</v>
      </c>
      <c r="M17" s="21"/>
      <c r="N17" s="18" t="s">
        <v>25</v>
      </c>
      <c r="O17" s="18" t="s">
        <v>10</v>
      </c>
      <c r="P17" s="19" t="s">
        <v>12</v>
      </c>
      <c r="Q17" s="21"/>
      <c r="R17" s="22" t="s">
        <v>5</v>
      </c>
      <c r="S17" s="18" t="s">
        <v>13</v>
      </c>
      <c r="T17" s="18" t="s">
        <v>14</v>
      </c>
      <c r="U17" s="18" t="s">
        <v>15</v>
      </c>
      <c r="V17" s="19" t="s">
        <v>16</v>
      </c>
      <c r="W17" s="23"/>
      <c r="X17" s="24" t="s">
        <v>17</v>
      </c>
      <c r="Y17" s="14"/>
      <c r="Z17" s="56"/>
      <c r="AA17" s="56"/>
      <c r="AB17" s="56"/>
      <c r="AC17" s="56"/>
      <c r="AD17" s="56"/>
      <c r="AE17" s="56"/>
      <c r="AF17" s="56"/>
    </row>
    <row r="18" spans="1:32" s="57" customFormat="1" ht="15" customHeight="1" x14ac:dyDescent="0.25">
      <c r="A18" s="25" t="s">
        <v>18</v>
      </c>
      <c r="B18" s="26">
        <f t="shared" ref="B18:C21" si="9">F18*J18</f>
        <v>0</v>
      </c>
      <c r="C18" s="26">
        <f t="shared" si="9"/>
        <v>0</v>
      </c>
      <c r="D18" s="27">
        <f t="shared" ref="D18:D21" si="10">C18-B18</f>
        <v>0</v>
      </c>
      <c r="E18" s="20"/>
      <c r="F18" s="28"/>
      <c r="G18" s="26">
        <f>F8</f>
        <v>0</v>
      </c>
      <c r="H18" s="27">
        <f t="shared" ref="H18:H22" si="11">G18-F18</f>
        <v>0</v>
      </c>
      <c r="I18" s="20"/>
      <c r="J18" s="28"/>
      <c r="K18" s="26">
        <f>J8</f>
        <v>0</v>
      </c>
      <c r="L18" s="27">
        <f t="shared" ref="L18:L22" si="12">K18-J18</f>
        <v>0</v>
      </c>
      <c r="M18" s="29"/>
      <c r="N18" s="30">
        <f>IFERROR(J18/J$22, 0)</f>
        <v>0</v>
      </c>
      <c r="O18" s="31">
        <f>IFERROR(K18/K$22, 0)</f>
        <v>0</v>
      </c>
      <c r="P18" s="32">
        <f>IFERROR(O18-N18, 0)</f>
        <v>0</v>
      </c>
      <c r="Q18" s="33"/>
      <c r="R18" s="34">
        <f t="shared" ref="R18:R21" si="13">J18*H18</f>
        <v>0</v>
      </c>
      <c r="S18" s="35">
        <f t="shared" ref="S18:S21" si="14">F18*L18-T18</f>
        <v>0</v>
      </c>
      <c r="T18" s="35">
        <f>$K$12*(F18-$F$12)*P18</f>
        <v>0</v>
      </c>
      <c r="U18" s="35">
        <f t="shared" ref="U18:U21" si="15">H18*L18</f>
        <v>0</v>
      </c>
      <c r="V18" s="36">
        <f t="shared" ref="V18:V21" si="16">SUM(R18:U18)</f>
        <v>0</v>
      </c>
      <c r="W18" s="35"/>
      <c r="X18" s="35">
        <f t="shared" ref="X18:X21" si="17">D18-V18</f>
        <v>0</v>
      </c>
      <c r="Y18" s="14"/>
      <c r="Z18" s="56"/>
      <c r="AA18" s="56"/>
      <c r="AB18" s="56"/>
      <c r="AC18" s="56"/>
      <c r="AD18" s="56"/>
      <c r="AE18" s="56"/>
      <c r="AF18" s="56"/>
    </row>
    <row r="19" spans="1:32" s="57" customFormat="1" ht="15" customHeight="1" x14ac:dyDescent="0.25">
      <c r="A19" s="25" t="s">
        <v>19</v>
      </c>
      <c r="B19" s="26">
        <f t="shared" si="9"/>
        <v>0</v>
      </c>
      <c r="C19" s="26">
        <f t="shared" si="9"/>
        <v>0</v>
      </c>
      <c r="D19" s="27">
        <f t="shared" si="10"/>
        <v>0</v>
      </c>
      <c r="E19" s="20"/>
      <c r="F19" s="28"/>
      <c r="G19" s="26">
        <f>F9</f>
        <v>0</v>
      </c>
      <c r="H19" s="27">
        <f t="shared" si="11"/>
        <v>0</v>
      </c>
      <c r="I19" s="20"/>
      <c r="J19" s="28"/>
      <c r="K19" s="26">
        <f>J9</f>
        <v>0</v>
      </c>
      <c r="L19" s="27">
        <f t="shared" si="12"/>
        <v>0</v>
      </c>
      <c r="M19" s="29"/>
      <c r="N19" s="30">
        <f>IFERROR(J19/J$22, 0)</f>
        <v>0</v>
      </c>
      <c r="O19" s="31">
        <f>IFERROR(K19/K$22, 0)</f>
        <v>0</v>
      </c>
      <c r="P19" s="32">
        <f>IFERROR(O19-N19, 0)</f>
        <v>0</v>
      </c>
      <c r="Q19" s="33"/>
      <c r="R19" s="34">
        <f t="shared" si="13"/>
        <v>0</v>
      </c>
      <c r="S19" s="35">
        <f t="shared" si="14"/>
        <v>0</v>
      </c>
      <c r="T19" s="35">
        <f>$K$12*(F19-$F$12)*P19</f>
        <v>0</v>
      </c>
      <c r="U19" s="35">
        <f t="shared" si="15"/>
        <v>0</v>
      </c>
      <c r="V19" s="36">
        <f t="shared" si="16"/>
        <v>0</v>
      </c>
      <c r="W19" s="35"/>
      <c r="X19" s="35">
        <f t="shared" si="17"/>
        <v>0</v>
      </c>
      <c r="Y19" s="14"/>
      <c r="Z19" s="56"/>
      <c r="AA19" s="56"/>
      <c r="AB19" s="56"/>
      <c r="AC19" s="56"/>
      <c r="AD19" s="56"/>
      <c r="AE19" s="56"/>
      <c r="AF19" s="56"/>
    </row>
    <row r="20" spans="1:32" s="57" customFormat="1" ht="15" customHeight="1" x14ac:dyDescent="0.25">
      <c r="A20" s="25" t="s">
        <v>20</v>
      </c>
      <c r="B20" s="26">
        <f t="shared" si="9"/>
        <v>0</v>
      </c>
      <c r="C20" s="26">
        <f t="shared" si="9"/>
        <v>0</v>
      </c>
      <c r="D20" s="27">
        <f t="shared" si="10"/>
        <v>0</v>
      </c>
      <c r="E20" s="20"/>
      <c r="F20" s="28"/>
      <c r="G20" s="26">
        <f>F10</f>
        <v>0</v>
      </c>
      <c r="H20" s="27">
        <f t="shared" si="11"/>
        <v>0</v>
      </c>
      <c r="I20" s="20"/>
      <c r="J20" s="28"/>
      <c r="K20" s="26">
        <f>J10</f>
        <v>0</v>
      </c>
      <c r="L20" s="27">
        <f t="shared" si="12"/>
        <v>0</v>
      </c>
      <c r="M20" s="29"/>
      <c r="N20" s="30">
        <f>IFERROR(J20/J$22, 0)</f>
        <v>0</v>
      </c>
      <c r="O20" s="31">
        <f>IFERROR(K20/K$22, 0)</f>
        <v>0</v>
      </c>
      <c r="P20" s="32">
        <f>IFERROR(O20-N20, 0)</f>
        <v>0</v>
      </c>
      <c r="Q20" s="33"/>
      <c r="R20" s="34">
        <f t="shared" si="13"/>
        <v>0</v>
      </c>
      <c r="S20" s="35">
        <f t="shared" si="14"/>
        <v>0</v>
      </c>
      <c r="T20" s="35">
        <f>$K$12*(F20-$F$12)*P20</f>
        <v>0</v>
      </c>
      <c r="U20" s="35">
        <f t="shared" si="15"/>
        <v>0</v>
      </c>
      <c r="V20" s="36">
        <f t="shared" si="16"/>
        <v>0</v>
      </c>
      <c r="W20" s="35"/>
      <c r="X20" s="35">
        <f t="shared" si="17"/>
        <v>0</v>
      </c>
      <c r="Y20" s="14"/>
      <c r="Z20" s="56"/>
      <c r="AA20" s="56"/>
      <c r="AB20" s="56"/>
      <c r="AC20" s="56"/>
      <c r="AD20" s="56"/>
      <c r="AE20" s="56"/>
      <c r="AF20" s="56"/>
    </row>
    <row r="21" spans="1:32" s="57" customFormat="1" ht="15" customHeight="1" x14ac:dyDescent="0.25">
      <c r="A21" s="25" t="s">
        <v>21</v>
      </c>
      <c r="B21" s="26">
        <f t="shared" si="9"/>
        <v>0</v>
      </c>
      <c r="C21" s="26">
        <f t="shared" si="9"/>
        <v>0</v>
      </c>
      <c r="D21" s="27">
        <f t="shared" si="10"/>
        <v>0</v>
      </c>
      <c r="E21" s="20"/>
      <c r="F21" s="28"/>
      <c r="G21" s="26">
        <f>F11</f>
        <v>0</v>
      </c>
      <c r="H21" s="27">
        <f t="shared" si="11"/>
        <v>0</v>
      </c>
      <c r="I21" s="20"/>
      <c r="J21" s="28"/>
      <c r="K21" s="26">
        <f>J11</f>
        <v>0</v>
      </c>
      <c r="L21" s="27">
        <f t="shared" si="12"/>
        <v>0</v>
      </c>
      <c r="M21" s="29"/>
      <c r="N21" s="30">
        <f>IFERROR(J21/J$22, 0)</f>
        <v>0</v>
      </c>
      <c r="O21" s="31">
        <f>IFERROR(K21/K$22, 0)</f>
        <v>0</v>
      </c>
      <c r="P21" s="32">
        <f>IFERROR(O21-N21, 0)</f>
        <v>0</v>
      </c>
      <c r="Q21" s="33"/>
      <c r="R21" s="34">
        <f t="shared" si="13"/>
        <v>0</v>
      </c>
      <c r="S21" s="35">
        <f t="shared" si="14"/>
        <v>0</v>
      </c>
      <c r="T21" s="35">
        <f>$K$12*(F21-$F$12)*P21</f>
        <v>0</v>
      </c>
      <c r="U21" s="35">
        <f t="shared" si="15"/>
        <v>0</v>
      </c>
      <c r="V21" s="36">
        <f t="shared" si="16"/>
        <v>0</v>
      </c>
      <c r="W21" s="35"/>
      <c r="X21" s="35">
        <f t="shared" si="17"/>
        <v>0</v>
      </c>
      <c r="Y21" s="14"/>
      <c r="Z21" s="56"/>
      <c r="AA21" s="56"/>
      <c r="AB21" s="56"/>
      <c r="AC21" s="56"/>
      <c r="AD21" s="56"/>
      <c r="AE21" s="56"/>
      <c r="AF21" s="56"/>
    </row>
    <row r="22" spans="1:32" s="57" customFormat="1" ht="15" customHeight="1" x14ac:dyDescent="0.2">
      <c r="A22" s="37" t="s">
        <v>16</v>
      </c>
      <c r="B22" s="38">
        <f>SUM(B18:B21)</f>
        <v>0</v>
      </c>
      <c r="C22" s="38">
        <f>SUM(C18:C21)</f>
        <v>0</v>
      </c>
      <c r="D22" s="39">
        <f>SUM(D18:D21)</f>
        <v>0</v>
      </c>
      <c r="E22" s="40"/>
      <c r="F22" s="41">
        <f>IFERROR(B22/J22, 0)</f>
        <v>0</v>
      </c>
      <c r="G22" s="38">
        <f>IFERROR(C22/K22, 0)</f>
        <v>0</v>
      </c>
      <c r="H22" s="39">
        <f>IFERROR(G22-F22, 0)</f>
        <v>0</v>
      </c>
      <c r="I22" s="20"/>
      <c r="J22" s="41">
        <f>SUM(J18:J21)</f>
        <v>0</v>
      </c>
      <c r="K22" s="38">
        <f>SUM(K18:K21)</f>
        <v>0</v>
      </c>
      <c r="L22" s="39">
        <f t="shared" si="12"/>
        <v>0</v>
      </c>
      <c r="M22" s="29"/>
      <c r="N22" s="42">
        <f>IFERROR(SUM(N18:N21), 0)</f>
        <v>0</v>
      </c>
      <c r="O22" s="43">
        <f>IFERROR(SUM(O18:O21), 0)</f>
        <v>0</v>
      </c>
      <c r="P22" s="44">
        <f>IFERROR(O22-N22, 0)</f>
        <v>0</v>
      </c>
      <c r="Q22" s="45"/>
      <c r="R22" s="46">
        <f>SUM(R18:R21)</f>
        <v>0</v>
      </c>
      <c r="S22" s="47">
        <f>SUM(S18:S21)</f>
        <v>0</v>
      </c>
      <c r="T22" s="47">
        <f>SUM(T18:T21)</f>
        <v>0</v>
      </c>
      <c r="U22" s="47">
        <f>SUM(U18:U21)</f>
        <v>0</v>
      </c>
      <c r="V22" s="48">
        <f>SUM(V18:V21)</f>
        <v>0</v>
      </c>
      <c r="W22" s="35"/>
      <c r="X22" s="35"/>
      <c r="Y22" s="14"/>
      <c r="Z22" s="56"/>
      <c r="AA22" s="56"/>
      <c r="AB22" s="56"/>
      <c r="AC22" s="56"/>
      <c r="AD22" s="56"/>
      <c r="AE22" s="56"/>
      <c r="AF22" s="56"/>
    </row>
    <row r="23" spans="1:32" s="57" customFormat="1" ht="15" customHeight="1" x14ac:dyDescent="0.2">
      <c r="A23" s="50" t="s">
        <v>22</v>
      </c>
      <c r="B23" s="51"/>
      <c r="C23" s="51"/>
      <c r="D23" s="14"/>
      <c r="E23" s="14"/>
      <c r="F23" s="14"/>
      <c r="G23" s="14"/>
      <c r="H23" s="14"/>
      <c r="I23" s="14"/>
      <c r="J23" s="14"/>
      <c r="K23" s="14"/>
      <c r="L23" s="14"/>
      <c r="M23" s="15"/>
      <c r="N23" s="52"/>
      <c r="O23" s="52"/>
      <c r="P23" s="52"/>
      <c r="Q23" s="14"/>
      <c r="R23" s="14"/>
      <c r="S23" s="14"/>
      <c r="T23" s="14"/>
      <c r="U23" s="14"/>
      <c r="V23" s="14"/>
      <c r="W23" s="14"/>
      <c r="X23" s="14"/>
      <c r="Y23" s="14"/>
      <c r="Z23" s="56"/>
      <c r="AA23" s="56"/>
      <c r="AB23" s="56"/>
      <c r="AC23" s="56"/>
      <c r="AD23" s="56"/>
      <c r="AE23" s="56"/>
      <c r="AF23" s="56"/>
    </row>
    <row r="24" spans="1:32" s="57" customFormat="1" ht="15" customHeight="1" x14ac:dyDescent="0.2">
      <c r="A24" s="50" t="s">
        <v>23</v>
      </c>
      <c r="B24" s="51">
        <f>+B22-B23</f>
        <v>0</v>
      </c>
      <c r="C24" s="51">
        <f>+C22-C23</f>
        <v>0</v>
      </c>
      <c r="D24" s="14"/>
      <c r="E24" s="14"/>
      <c r="F24" s="14"/>
      <c r="G24" s="14"/>
      <c r="H24" s="14"/>
      <c r="I24" s="14"/>
      <c r="J24" s="14"/>
      <c r="K24" s="14"/>
      <c r="L24" s="14"/>
      <c r="M24" s="15"/>
      <c r="N24" s="52"/>
      <c r="O24" s="52"/>
      <c r="P24" s="52"/>
      <c r="Q24" s="14"/>
      <c r="R24" s="14"/>
      <c r="S24" s="14"/>
      <c r="T24" s="14"/>
      <c r="U24" s="14"/>
      <c r="V24" s="14"/>
      <c r="W24" s="14"/>
      <c r="X24" s="14"/>
      <c r="Y24" s="14"/>
      <c r="Z24" s="56"/>
      <c r="AA24" s="56"/>
      <c r="AB24" s="56"/>
      <c r="AC24" s="56"/>
      <c r="AD24" s="56"/>
      <c r="AE24" s="56"/>
      <c r="AF24" s="56"/>
    </row>
    <row r="25" spans="1:32" s="57" customFormat="1" ht="15" customHeight="1" x14ac:dyDescent="0.2">
      <c r="A25" s="58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5"/>
      <c r="N25" s="52"/>
      <c r="O25" s="52"/>
      <c r="P25" s="52"/>
      <c r="Q25" s="14"/>
      <c r="R25" s="14"/>
      <c r="S25" s="14"/>
      <c r="T25" s="14"/>
      <c r="U25" s="14"/>
      <c r="V25" s="14"/>
      <c r="W25" s="14"/>
      <c r="X25" s="14"/>
      <c r="Y25" s="14"/>
      <c r="Z25" s="56"/>
      <c r="AA25" s="56"/>
      <c r="AB25" s="56"/>
      <c r="AC25" s="56"/>
      <c r="AD25" s="56"/>
      <c r="AE25" s="56"/>
      <c r="AF25" s="56"/>
    </row>
    <row r="26" spans="1:32" s="57" customFormat="1" ht="15" customHeight="1" x14ac:dyDescent="0.25">
      <c r="A26" s="59" t="s">
        <v>38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5"/>
      <c r="N26" s="52"/>
      <c r="O26" s="52"/>
      <c r="P26" s="52"/>
      <c r="Q26" s="14"/>
      <c r="R26" s="14"/>
      <c r="S26" s="14"/>
      <c r="T26" s="14"/>
      <c r="U26" s="14"/>
      <c r="V26" s="14"/>
      <c r="W26" s="14"/>
      <c r="X26" s="14"/>
      <c r="Y26" s="14"/>
      <c r="Z26" s="56"/>
      <c r="AA26" s="56"/>
      <c r="AB26" s="56"/>
      <c r="AC26" s="56"/>
      <c r="AD26" s="56"/>
      <c r="AE26" s="56"/>
      <c r="AF26" s="56"/>
    </row>
    <row r="27" spans="1:32" s="57" customFormat="1" ht="21.95" customHeight="1" x14ac:dyDescent="0.2">
      <c r="A27" s="17" t="s">
        <v>9</v>
      </c>
      <c r="B27" s="18" t="s">
        <v>26</v>
      </c>
      <c r="C27" s="18" t="s">
        <v>27</v>
      </c>
      <c r="D27" s="19" t="s">
        <v>12</v>
      </c>
      <c r="E27" s="21"/>
      <c r="F27" s="22" t="s">
        <v>26</v>
      </c>
      <c r="G27" s="18" t="s">
        <v>27</v>
      </c>
      <c r="H27" s="19" t="s">
        <v>12</v>
      </c>
      <c r="I27" s="21"/>
      <c r="J27" s="22" t="s">
        <v>26</v>
      </c>
      <c r="K27" s="18" t="s">
        <v>27</v>
      </c>
      <c r="L27" s="19" t="s">
        <v>12</v>
      </c>
      <c r="M27" s="21"/>
      <c r="N27" s="22" t="s">
        <v>26</v>
      </c>
      <c r="O27" s="18" t="s">
        <v>27</v>
      </c>
      <c r="P27" s="19" t="s">
        <v>12</v>
      </c>
      <c r="Q27" s="21"/>
      <c r="R27" s="22" t="s">
        <v>5</v>
      </c>
      <c r="S27" s="18" t="s">
        <v>13</v>
      </c>
      <c r="T27" s="18" t="s">
        <v>14</v>
      </c>
      <c r="U27" s="18" t="s">
        <v>15</v>
      </c>
      <c r="V27" s="19" t="s">
        <v>16</v>
      </c>
      <c r="W27" s="23"/>
      <c r="X27" s="24" t="s">
        <v>17</v>
      </c>
      <c r="Y27" s="15"/>
      <c r="Z27" s="56"/>
      <c r="AA27" s="56"/>
      <c r="AB27" s="56"/>
      <c r="AC27" s="56"/>
      <c r="AD27" s="56"/>
      <c r="AE27" s="56"/>
      <c r="AF27" s="56"/>
    </row>
    <row r="28" spans="1:32" s="57" customFormat="1" ht="15" customHeight="1" x14ac:dyDescent="0.2">
      <c r="A28" s="60" t="s">
        <v>28</v>
      </c>
      <c r="B28" s="26">
        <f t="shared" ref="B28:C31" si="18">F28*J28</f>
        <v>0</v>
      </c>
      <c r="C28" s="26">
        <f t="shared" si="18"/>
        <v>0</v>
      </c>
      <c r="D28" s="27">
        <f t="shared" ref="D28:D31" si="19">C28-B28</f>
        <v>0</v>
      </c>
      <c r="E28" s="20"/>
      <c r="F28" s="28"/>
      <c r="G28" s="26">
        <f>F18</f>
        <v>0</v>
      </c>
      <c r="H28" s="27">
        <f t="shared" ref="H28:H32" si="20">G28-F28</f>
        <v>0</v>
      </c>
      <c r="I28" s="20"/>
      <c r="J28" s="28"/>
      <c r="K28" s="26">
        <f>J18</f>
        <v>0</v>
      </c>
      <c r="L28" s="27">
        <f t="shared" ref="L28:L32" si="21">K28-J28</f>
        <v>0</v>
      </c>
      <c r="M28" s="29"/>
      <c r="N28" s="30">
        <f>IFERROR(J28/J$32, 0)</f>
        <v>0</v>
      </c>
      <c r="O28" s="31">
        <f>IFERROR(K28/K$32, 0)</f>
        <v>0</v>
      </c>
      <c r="P28" s="32">
        <f>IFERROR(O28-N28, 0)</f>
        <v>0</v>
      </c>
      <c r="Q28" s="33"/>
      <c r="R28" s="34">
        <f t="shared" ref="R28:R31" si="22">J28*H28</f>
        <v>0</v>
      </c>
      <c r="S28" s="35">
        <f t="shared" ref="S28:S31" si="23">F28*L28-T28</f>
        <v>0</v>
      </c>
      <c r="T28" s="35">
        <f>$K$12*(F28-$F$12)*P28</f>
        <v>0</v>
      </c>
      <c r="U28" s="35">
        <f t="shared" ref="U28:U31" si="24">H28*L28</f>
        <v>0</v>
      </c>
      <c r="V28" s="36">
        <f t="shared" ref="V28:V31" si="25">SUM(R28:U28)</f>
        <v>0</v>
      </c>
      <c r="W28" s="35"/>
      <c r="X28" s="35">
        <f t="shared" ref="X28:X31" si="26">D28-V28</f>
        <v>0</v>
      </c>
      <c r="Y28" s="15"/>
      <c r="Z28" s="56"/>
      <c r="AA28" s="56"/>
      <c r="AB28" s="56"/>
      <c r="AC28" s="56"/>
      <c r="AD28" s="56"/>
      <c r="AE28" s="56"/>
      <c r="AF28" s="56"/>
    </row>
    <row r="29" spans="1:32" s="57" customFormat="1" ht="15" customHeight="1" x14ac:dyDescent="0.2">
      <c r="A29" s="60" t="s">
        <v>29</v>
      </c>
      <c r="B29" s="26">
        <f t="shared" si="18"/>
        <v>0</v>
      </c>
      <c r="C29" s="26">
        <f t="shared" si="18"/>
        <v>0</v>
      </c>
      <c r="D29" s="27">
        <f t="shared" si="19"/>
        <v>0</v>
      </c>
      <c r="E29" s="20"/>
      <c r="F29" s="28"/>
      <c r="G29" s="26">
        <f>F19</f>
        <v>0</v>
      </c>
      <c r="H29" s="27">
        <f t="shared" si="20"/>
        <v>0</v>
      </c>
      <c r="I29" s="20"/>
      <c r="J29" s="28"/>
      <c r="K29" s="26">
        <f>J19</f>
        <v>0</v>
      </c>
      <c r="L29" s="27">
        <f t="shared" si="21"/>
        <v>0</v>
      </c>
      <c r="M29" s="29"/>
      <c r="N29" s="30">
        <f>IFERROR(J29/J$32, 0)</f>
        <v>0</v>
      </c>
      <c r="O29" s="31">
        <f>IFERROR(K29/K$32, 0)</f>
        <v>0</v>
      </c>
      <c r="P29" s="32">
        <f>IFERROR(O29-N29, 0)</f>
        <v>0</v>
      </c>
      <c r="Q29" s="33"/>
      <c r="R29" s="34">
        <f t="shared" si="22"/>
        <v>0</v>
      </c>
      <c r="S29" s="35">
        <f t="shared" si="23"/>
        <v>0</v>
      </c>
      <c r="T29" s="35">
        <f>$K$12*(F29-$F$12)*P29</f>
        <v>0</v>
      </c>
      <c r="U29" s="35">
        <f t="shared" si="24"/>
        <v>0</v>
      </c>
      <c r="V29" s="36">
        <f t="shared" si="25"/>
        <v>0</v>
      </c>
      <c r="W29" s="35"/>
      <c r="X29" s="35">
        <f t="shared" si="26"/>
        <v>0</v>
      </c>
      <c r="Y29" s="15"/>
      <c r="Z29" s="56"/>
      <c r="AA29" s="56"/>
      <c r="AB29" s="56"/>
      <c r="AC29" s="56"/>
      <c r="AD29" s="56"/>
      <c r="AE29" s="56"/>
      <c r="AF29" s="56"/>
    </row>
    <row r="30" spans="1:32" s="57" customFormat="1" ht="15" customHeight="1" x14ac:dyDescent="0.2">
      <c r="A30" s="60" t="s">
        <v>30</v>
      </c>
      <c r="B30" s="26">
        <f t="shared" si="18"/>
        <v>0</v>
      </c>
      <c r="C30" s="26">
        <f t="shared" si="18"/>
        <v>0</v>
      </c>
      <c r="D30" s="27">
        <f t="shared" si="19"/>
        <v>0</v>
      </c>
      <c r="E30" s="20"/>
      <c r="F30" s="28"/>
      <c r="G30" s="26">
        <f>F20</f>
        <v>0</v>
      </c>
      <c r="H30" s="27">
        <f t="shared" si="20"/>
        <v>0</v>
      </c>
      <c r="I30" s="20"/>
      <c r="J30" s="28"/>
      <c r="K30" s="26">
        <f>J20</f>
        <v>0</v>
      </c>
      <c r="L30" s="27">
        <f t="shared" si="21"/>
        <v>0</v>
      </c>
      <c r="M30" s="29"/>
      <c r="N30" s="30">
        <f>IFERROR(J30/J$32, 0)</f>
        <v>0</v>
      </c>
      <c r="O30" s="31">
        <f>IFERROR(K30/K$32, 0)</f>
        <v>0</v>
      </c>
      <c r="P30" s="32">
        <f>IFERROR(O30-N30, 0)</f>
        <v>0</v>
      </c>
      <c r="Q30" s="33"/>
      <c r="R30" s="34">
        <f t="shared" si="22"/>
        <v>0</v>
      </c>
      <c r="S30" s="35">
        <f t="shared" si="23"/>
        <v>0</v>
      </c>
      <c r="T30" s="35">
        <f>$K$12*(F30-$F$12)*P30</f>
        <v>0</v>
      </c>
      <c r="U30" s="35">
        <f t="shared" si="24"/>
        <v>0</v>
      </c>
      <c r="V30" s="36">
        <f t="shared" si="25"/>
        <v>0</v>
      </c>
      <c r="W30" s="35"/>
      <c r="X30" s="35">
        <f t="shared" si="26"/>
        <v>0</v>
      </c>
      <c r="Y30" s="15"/>
      <c r="Z30" s="56"/>
      <c r="AA30" s="56"/>
      <c r="AB30" s="56"/>
      <c r="AC30" s="56"/>
      <c r="AD30" s="56"/>
      <c r="AE30" s="56"/>
      <c r="AF30" s="56"/>
    </row>
    <row r="31" spans="1:32" s="57" customFormat="1" ht="15" customHeight="1" x14ac:dyDescent="0.2">
      <c r="A31" s="60" t="s">
        <v>31</v>
      </c>
      <c r="B31" s="26">
        <f t="shared" si="18"/>
        <v>0</v>
      </c>
      <c r="C31" s="26">
        <f t="shared" si="18"/>
        <v>0</v>
      </c>
      <c r="D31" s="27">
        <f t="shared" si="19"/>
        <v>0</v>
      </c>
      <c r="E31" s="20"/>
      <c r="F31" s="28"/>
      <c r="G31" s="26"/>
      <c r="H31" s="27">
        <f t="shared" si="20"/>
        <v>0</v>
      </c>
      <c r="I31" s="20"/>
      <c r="J31" s="28"/>
      <c r="K31" s="26"/>
      <c r="L31" s="27">
        <f t="shared" si="21"/>
        <v>0</v>
      </c>
      <c r="M31" s="29"/>
      <c r="N31" s="30">
        <f>IFERROR(J31/J$32, 0)</f>
        <v>0</v>
      </c>
      <c r="O31" s="31">
        <f>IFERROR(K31/K$32, 0)</f>
        <v>0</v>
      </c>
      <c r="P31" s="32">
        <f>IFERROR(O31-N31, 0)</f>
        <v>0</v>
      </c>
      <c r="Q31" s="33"/>
      <c r="R31" s="34">
        <f t="shared" si="22"/>
        <v>0</v>
      </c>
      <c r="S31" s="35">
        <f t="shared" si="23"/>
        <v>0</v>
      </c>
      <c r="T31" s="35">
        <f>$K$12*(F31-$F$12)*P31</f>
        <v>0</v>
      </c>
      <c r="U31" s="35">
        <f t="shared" si="24"/>
        <v>0</v>
      </c>
      <c r="V31" s="36">
        <f t="shared" si="25"/>
        <v>0</v>
      </c>
      <c r="W31" s="35"/>
      <c r="X31" s="35">
        <f t="shared" si="26"/>
        <v>0</v>
      </c>
      <c r="Y31" s="15"/>
      <c r="Z31" s="56"/>
      <c r="AA31" s="56"/>
      <c r="AB31" s="56"/>
      <c r="AC31" s="56"/>
      <c r="AD31" s="56"/>
      <c r="AE31" s="56"/>
      <c r="AF31" s="56"/>
    </row>
    <row r="32" spans="1:32" s="57" customFormat="1" ht="15" customHeight="1" x14ac:dyDescent="0.2">
      <c r="A32" s="37" t="s">
        <v>16</v>
      </c>
      <c r="B32" s="38">
        <f>SUM(B28:B31)</f>
        <v>0</v>
      </c>
      <c r="C32" s="38">
        <f>SUM(C28:C31)</f>
        <v>0</v>
      </c>
      <c r="D32" s="39">
        <f>SUM(D28:D31)</f>
        <v>0</v>
      </c>
      <c r="E32" s="40"/>
      <c r="F32" s="41">
        <f>IFERROR(B32/J32, 0)</f>
        <v>0</v>
      </c>
      <c r="G32" s="38">
        <f>IFERROR(C32/K32, 0)</f>
        <v>0</v>
      </c>
      <c r="H32" s="39">
        <f>IFERROR(G32-F32, 0)</f>
        <v>0</v>
      </c>
      <c r="I32" s="20"/>
      <c r="J32" s="41">
        <f>SUM(J28:J31)</f>
        <v>0</v>
      </c>
      <c r="K32" s="38">
        <f>SUM(K28:K31)</f>
        <v>0</v>
      </c>
      <c r="L32" s="39">
        <f t="shared" si="21"/>
        <v>0</v>
      </c>
      <c r="M32" s="29"/>
      <c r="N32" s="42">
        <f>IFERROR(SUM(N28:N31), 0)</f>
        <v>0</v>
      </c>
      <c r="O32" s="43">
        <f>IFERROR(SUM(O28:O31), 0)</f>
        <v>0</v>
      </c>
      <c r="P32" s="44">
        <f>IFERROR(O32-N32, 0)</f>
        <v>0</v>
      </c>
      <c r="Q32" s="45"/>
      <c r="R32" s="46">
        <f>SUM(R28:R31)</f>
        <v>0</v>
      </c>
      <c r="S32" s="47">
        <f>SUM(S28:S31)</f>
        <v>0</v>
      </c>
      <c r="T32" s="47">
        <f>SUM(T28:T31)</f>
        <v>0</v>
      </c>
      <c r="U32" s="47">
        <f>SUM(U28:U31)</f>
        <v>0</v>
      </c>
      <c r="V32" s="48">
        <f>SUM(V28:V31)</f>
        <v>0</v>
      </c>
      <c r="W32" s="35"/>
      <c r="X32" s="35"/>
      <c r="Y32" s="15"/>
      <c r="Z32" s="56"/>
      <c r="AA32" s="56"/>
      <c r="AB32" s="56"/>
      <c r="AC32" s="56"/>
      <c r="AD32" s="56"/>
      <c r="AE32" s="56"/>
      <c r="AF32" s="56"/>
    </row>
    <row r="33" spans="1:32" s="62" customFormat="1" ht="15" customHeight="1" x14ac:dyDescent="0.25">
      <c r="A33" s="61"/>
      <c r="B33" s="61"/>
      <c r="C33" s="61"/>
      <c r="D33" s="61"/>
      <c r="E33" s="61"/>
      <c r="F33" s="61"/>
      <c r="G33" s="61"/>
      <c r="H33" s="61"/>
      <c r="I33" s="3"/>
      <c r="J33" s="2"/>
      <c r="K33" s="2"/>
      <c r="L33" s="2"/>
      <c r="M33" s="3"/>
      <c r="N33" s="2"/>
      <c r="O33" s="2"/>
      <c r="P33" s="2"/>
      <c r="Q33" s="2"/>
      <c r="R33" s="2"/>
      <c r="S33" s="3"/>
      <c r="T33" s="3"/>
      <c r="U33" s="3"/>
      <c r="V33" s="3"/>
      <c r="W33" s="3"/>
      <c r="X33" s="3"/>
      <c r="Y33" s="3"/>
      <c r="Z33" s="61"/>
      <c r="AA33" s="61"/>
      <c r="AB33" s="61"/>
      <c r="AC33" s="61"/>
      <c r="AD33" s="61"/>
      <c r="AE33" s="61"/>
      <c r="AF33" s="61"/>
    </row>
    <row r="34" spans="1:32" s="62" customFormat="1" ht="15" customHeight="1" x14ac:dyDescent="0.25">
      <c r="A34" s="61"/>
      <c r="B34" s="61"/>
      <c r="C34" s="61"/>
      <c r="D34" s="61"/>
      <c r="E34" s="61"/>
      <c r="F34" s="61"/>
      <c r="G34" s="61"/>
      <c r="H34" s="61"/>
      <c r="I34" s="3"/>
      <c r="J34" s="2"/>
      <c r="K34" s="2"/>
      <c r="L34" s="2"/>
      <c r="M34" s="3"/>
      <c r="N34" s="2"/>
      <c r="O34" s="2"/>
      <c r="P34" s="2"/>
      <c r="Q34" s="2"/>
      <c r="R34" s="2"/>
      <c r="S34" s="3"/>
      <c r="T34" s="3"/>
      <c r="U34" s="3"/>
      <c r="V34" s="3"/>
      <c r="W34" s="3"/>
      <c r="X34" s="3"/>
      <c r="Y34" s="3"/>
      <c r="Z34" s="61"/>
      <c r="AA34" s="61"/>
      <c r="AB34" s="61"/>
      <c r="AC34" s="61"/>
      <c r="AD34" s="61"/>
      <c r="AE34" s="61"/>
      <c r="AF34" s="61"/>
    </row>
    <row r="35" spans="1:32" s="62" customFormat="1" ht="15" customHeight="1" x14ac:dyDescent="0.25">
      <c r="A35" s="61"/>
      <c r="B35" s="61"/>
      <c r="C35" s="61"/>
      <c r="D35" s="61"/>
      <c r="E35" s="9"/>
      <c r="F35" s="63" t="s">
        <v>32</v>
      </c>
      <c r="G35" s="64"/>
      <c r="H35" s="64"/>
      <c r="I35" s="65"/>
      <c r="J35" s="66"/>
      <c r="K35" s="66"/>
      <c r="L35" s="66"/>
      <c r="M35" s="65"/>
      <c r="N35" s="66"/>
      <c r="O35" s="66"/>
      <c r="P35" s="66"/>
      <c r="Q35" s="2"/>
      <c r="R35" s="2"/>
      <c r="S35" s="3"/>
      <c r="T35" s="3"/>
      <c r="U35" s="3"/>
      <c r="V35" s="3"/>
      <c r="W35" s="3"/>
      <c r="X35" s="3"/>
      <c r="Y35" s="3"/>
      <c r="Z35" s="61"/>
      <c r="AA35" s="61"/>
      <c r="AB35" s="61"/>
      <c r="AC35" s="61"/>
      <c r="AD35" s="61"/>
      <c r="AE35" s="61"/>
      <c r="AF35" s="61"/>
    </row>
    <row r="36" spans="1:32" s="62" customFormat="1" ht="15" customHeight="1" thickBot="1" x14ac:dyDescent="0.3">
      <c r="A36" s="61"/>
      <c r="B36" s="61"/>
      <c r="C36" s="61"/>
      <c r="D36" s="61"/>
      <c r="E36" s="9"/>
      <c r="F36" s="9"/>
      <c r="G36" s="9"/>
      <c r="H36" s="9"/>
      <c r="I36" s="3"/>
      <c r="J36" s="2"/>
      <c r="K36" s="2"/>
      <c r="L36" s="2"/>
      <c r="M36" s="3"/>
      <c r="N36" s="2"/>
      <c r="O36" s="2"/>
      <c r="P36" s="2"/>
      <c r="Q36" s="2"/>
      <c r="R36" s="2"/>
      <c r="S36" s="3"/>
      <c r="T36" s="3"/>
      <c r="U36" s="3"/>
      <c r="V36" s="3"/>
      <c r="W36" s="3"/>
      <c r="X36" s="3"/>
      <c r="Y36" s="3"/>
      <c r="Z36" s="61"/>
      <c r="AA36" s="61"/>
      <c r="AB36" s="61"/>
      <c r="AC36" s="61"/>
      <c r="AD36" s="61"/>
      <c r="AE36" s="61"/>
      <c r="AF36" s="61"/>
    </row>
    <row r="37" spans="1:32" s="62" customFormat="1" ht="15" customHeight="1" x14ac:dyDescent="0.25">
      <c r="A37" s="61"/>
      <c r="B37" s="67" t="s">
        <v>33</v>
      </c>
      <c r="C37" s="68"/>
      <c r="D37" s="61"/>
      <c r="E37" s="9"/>
      <c r="F37" s="61"/>
      <c r="G37" s="2"/>
      <c r="H37" s="2"/>
      <c r="I37" s="2"/>
      <c r="J37" s="2"/>
      <c r="K37" s="2"/>
      <c r="L37" s="2"/>
      <c r="M37" s="3"/>
      <c r="N37" s="2"/>
      <c r="O37" s="2"/>
      <c r="P37" s="2"/>
      <c r="Q37" s="2"/>
      <c r="R37" s="2"/>
      <c r="S37" s="3"/>
      <c r="T37" s="3"/>
      <c r="U37" s="3"/>
      <c r="V37" s="3"/>
      <c r="W37" s="3"/>
      <c r="X37" s="3"/>
      <c r="Y37" s="3"/>
      <c r="Z37" s="61"/>
      <c r="AA37" s="61"/>
      <c r="AB37" s="61"/>
      <c r="AC37" s="61"/>
      <c r="AD37" s="61"/>
      <c r="AE37" s="61"/>
      <c r="AF37" s="61"/>
    </row>
    <row r="38" spans="1:32" s="62" customFormat="1" ht="15" customHeight="1" x14ac:dyDescent="0.25">
      <c r="A38" s="61"/>
      <c r="B38" s="69" t="s">
        <v>34</v>
      </c>
      <c r="C38" s="70">
        <f>B22</f>
        <v>0</v>
      </c>
      <c r="D38" s="61"/>
      <c r="E38" s="9"/>
      <c r="F38" s="61"/>
      <c r="G38" s="2"/>
      <c r="H38" s="2"/>
      <c r="I38" s="2"/>
      <c r="J38" s="2"/>
      <c r="K38" s="2"/>
      <c r="L38" s="2"/>
      <c r="M38" s="3"/>
      <c r="N38" s="2"/>
      <c r="O38" s="2"/>
      <c r="P38" s="2"/>
      <c r="Q38" s="2"/>
      <c r="R38" s="2"/>
      <c r="S38" s="3"/>
      <c r="T38" s="3"/>
      <c r="U38" s="3"/>
      <c r="V38" s="3"/>
      <c r="W38" s="3"/>
      <c r="X38" s="3"/>
      <c r="Y38" s="3"/>
      <c r="Z38" s="61"/>
      <c r="AA38" s="61"/>
      <c r="AB38" s="61"/>
      <c r="AC38" s="61"/>
      <c r="AD38" s="61"/>
      <c r="AE38" s="61"/>
      <c r="AF38" s="61"/>
    </row>
    <row r="39" spans="1:32" s="62" customFormat="1" ht="15" customHeight="1" x14ac:dyDescent="0.25">
      <c r="A39" s="61"/>
      <c r="B39" s="71" t="s">
        <v>5</v>
      </c>
      <c r="C39" s="70" cm="1">
        <f t="array" ref="C39:C42">TRANSPOSE(R22:U22)</f>
        <v>0</v>
      </c>
      <c r="D39" s="61"/>
      <c r="E39" s="9"/>
      <c r="F39" s="61"/>
      <c r="G39" s="2"/>
      <c r="H39" s="2"/>
      <c r="I39" s="2"/>
      <c r="J39" s="2"/>
      <c r="K39" s="2"/>
      <c r="L39" s="2"/>
      <c r="M39" s="3"/>
      <c r="N39" s="2"/>
      <c r="O39" s="2"/>
      <c r="P39" s="2"/>
      <c r="Q39" s="2"/>
      <c r="R39" s="2"/>
      <c r="S39" s="3"/>
      <c r="T39" s="3"/>
      <c r="U39" s="3"/>
      <c r="V39" s="3"/>
      <c r="W39" s="3"/>
      <c r="X39" s="3"/>
      <c r="Y39" s="3"/>
      <c r="Z39" s="61"/>
      <c r="AA39" s="61"/>
      <c r="AB39" s="61"/>
      <c r="AC39" s="61"/>
      <c r="AD39" s="61"/>
      <c r="AE39" s="61"/>
      <c r="AF39" s="61"/>
    </row>
    <row r="40" spans="1:32" s="62" customFormat="1" ht="15" customHeight="1" x14ac:dyDescent="0.25">
      <c r="A40" s="61"/>
      <c r="B40" s="71" t="s">
        <v>13</v>
      </c>
      <c r="C40" s="70">
        <v>0</v>
      </c>
      <c r="D40" s="61"/>
      <c r="E40" s="9"/>
      <c r="F40" s="61"/>
      <c r="G40" s="2"/>
      <c r="H40" s="2"/>
      <c r="I40" s="2"/>
      <c r="J40" s="2"/>
      <c r="K40" s="2"/>
      <c r="L40" s="2"/>
      <c r="M40" s="3"/>
      <c r="N40" s="2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61"/>
      <c r="AA40" s="61"/>
      <c r="AB40" s="61"/>
      <c r="AC40" s="61"/>
      <c r="AD40" s="61"/>
      <c r="AE40" s="61"/>
      <c r="AF40" s="61"/>
    </row>
    <row r="41" spans="1:32" ht="15" customHeight="1" x14ac:dyDescent="0.25">
      <c r="A41" s="2"/>
      <c r="B41" s="71" t="s">
        <v>14</v>
      </c>
      <c r="C41" s="72">
        <v>0</v>
      </c>
      <c r="D41" s="2"/>
      <c r="E41" s="2"/>
      <c r="F41" s="2"/>
      <c r="G41" s="2"/>
      <c r="H41" s="2"/>
      <c r="I41" s="2"/>
      <c r="J41" s="2"/>
      <c r="K41" s="2"/>
      <c r="L41" s="2"/>
      <c r="M41" s="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5" customHeight="1" x14ac:dyDescent="0.25">
      <c r="A42" s="2"/>
      <c r="B42" s="71" t="s">
        <v>35</v>
      </c>
      <c r="C42" s="72">
        <v>0</v>
      </c>
      <c r="D42" s="2"/>
      <c r="E42" s="2"/>
      <c r="F42" s="2"/>
      <c r="G42" s="2"/>
      <c r="H42" s="2"/>
      <c r="I42" s="2"/>
      <c r="J42" s="2"/>
      <c r="K42" s="2"/>
      <c r="L42" s="2"/>
      <c r="M42" s="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5" customHeight="1" x14ac:dyDescent="0.25">
      <c r="A43" s="2"/>
      <c r="B43" s="69" t="s">
        <v>36</v>
      </c>
      <c r="C43" s="72">
        <f>SUM(C38:C42)</f>
        <v>0</v>
      </c>
      <c r="D43" s="2"/>
      <c r="E43" s="2"/>
      <c r="F43" s="2"/>
      <c r="G43" s="2"/>
      <c r="H43" s="2"/>
      <c r="I43" s="2"/>
      <c r="J43" s="2"/>
      <c r="K43" s="2"/>
      <c r="L43" s="2"/>
      <c r="M43" s="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5" customHeight="1" x14ac:dyDescent="0.25">
      <c r="A44" s="2"/>
      <c r="B44" s="71" t="s">
        <v>5</v>
      </c>
      <c r="C44" s="72" cm="1">
        <f t="array" ref="C44:C47">TRANSPOSE(R12:U12)</f>
        <v>0</v>
      </c>
      <c r="D44" s="2"/>
      <c r="E44" s="2"/>
      <c r="F44" s="2"/>
      <c r="G44" s="2"/>
      <c r="H44" s="2"/>
      <c r="I44" s="2"/>
      <c r="J44" s="2"/>
      <c r="K44" s="2"/>
      <c r="L44" s="2"/>
      <c r="M44" s="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5" customHeight="1" x14ac:dyDescent="0.25">
      <c r="A45" s="2"/>
      <c r="B45" s="71" t="s">
        <v>13</v>
      </c>
      <c r="C45" s="72">
        <v>0</v>
      </c>
      <c r="D45" s="2"/>
      <c r="E45" s="2"/>
      <c r="F45" s="2"/>
      <c r="G45" s="2"/>
      <c r="H45" s="2"/>
      <c r="I45" s="2"/>
      <c r="J45" s="2"/>
      <c r="K45" s="2"/>
      <c r="L45" s="2"/>
      <c r="M45" s="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5" customHeight="1" x14ac:dyDescent="0.25">
      <c r="A46" s="2"/>
      <c r="B46" s="71" t="s">
        <v>14</v>
      </c>
      <c r="C46" s="72">
        <v>0</v>
      </c>
      <c r="D46" s="2"/>
      <c r="E46" s="2"/>
      <c r="F46" s="2"/>
      <c r="G46" s="2"/>
      <c r="H46" s="2"/>
      <c r="I46" s="2"/>
      <c r="J46" s="2"/>
      <c r="K46" s="2"/>
      <c r="L46" s="2"/>
      <c r="M46" s="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5" customHeight="1" x14ac:dyDescent="0.25">
      <c r="A47" s="2"/>
      <c r="B47" s="71" t="s">
        <v>35</v>
      </c>
      <c r="C47" s="72">
        <v>0</v>
      </c>
      <c r="D47" s="2"/>
      <c r="E47" s="2"/>
      <c r="F47" s="2"/>
      <c r="G47" s="2"/>
      <c r="H47" s="2"/>
      <c r="I47" s="2"/>
      <c r="J47" s="2"/>
      <c r="K47" s="2"/>
      <c r="L47" s="2"/>
      <c r="M47" s="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5" customHeight="1" thickBot="1" x14ac:dyDescent="0.3">
      <c r="A48" s="2"/>
      <c r="B48" s="73" t="s">
        <v>37</v>
      </c>
      <c r="C48" s="74">
        <f>SUM(C43:C47)</f>
        <v>0</v>
      </c>
      <c r="D48" s="2"/>
      <c r="E48" s="2"/>
      <c r="F48" s="2"/>
      <c r="G48" s="2"/>
      <c r="H48" s="2"/>
      <c r="I48" s="2"/>
      <c r="J48" s="2"/>
      <c r="K48" s="2"/>
      <c r="L48" s="2"/>
      <c r="M48" s="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76" customFormat="1" ht="15" hidden="1" customHeight="1" outlineLevel="1" x14ac:dyDescent="0.25">
      <c r="A49" s="2"/>
      <c r="B49" s="75"/>
      <c r="C49" s="75"/>
      <c r="D49" s="75"/>
      <c r="E49" s="75"/>
      <c r="F49" s="75"/>
      <c r="G49" s="75"/>
      <c r="H49" s="2"/>
      <c r="I49" s="3"/>
      <c r="J49" s="2"/>
      <c r="K49" s="2"/>
      <c r="L49" s="2"/>
      <c r="M49" s="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s="76" customFormat="1" ht="15" hidden="1" customHeight="1" outlineLevel="1" x14ac:dyDescent="0.25">
      <c r="A50" s="2"/>
      <c r="B50" s="3"/>
      <c r="C50" s="75"/>
      <c r="D50" s="75"/>
      <c r="E50" s="75"/>
      <c r="F50" s="75"/>
      <c r="G50" s="75"/>
      <c r="H50" s="2"/>
      <c r="I50" s="3"/>
      <c r="J50" s="2"/>
      <c r="K50" s="2"/>
      <c r="L50" s="2"/>
      <c r="M50" s="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s="76" customFormat="1" ht="15" hidden="1" customHeight="1" outlineLevel="1" x14ac:dyDescent="0.25">
      <c r="A51" s="2"/>
      <c r="B51" s="75"/>
      <c r="C51" s="75"/>
      <c r="D51" s="75"/>
      <c r="E51" s="75"/>
      <c r="F51" s="75"/>
      <c r="G51" s="75"/>
      <c r="H51" s="9"/>
      <c r="I51" s="3"/>
      <c r="J51" s="2"/>
      <c r="K51" s="2"/>
      <c r="L51" s="2"/>
      <c r="M51" s="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s="76" customFormat="1" ht="15" hidden="1" customHeight="1" outlineLevel="1" x14ac:dyDescent="0.25">
      <c r="A52" s="2"/>
      <c r="B52" s="75"/>
      <c r="C52" s="75"/>
      <c r="D52" s="75"/>
      <c r="E52" s="75"/>
      <c r="F52" s="75"/>
      <c r="G52" s="75"/>
      <c r="H52" s="9"/>
      <c r="I52" s="3"/>
      <c r="J52" s="2"/>
      <c r="K52" s="2"/>
      <c r="L52" s="2"/>
      <c r="M52" s="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s="76" customFormat="1" ht="15" hidden="1" customHeight="1" outlineLevel="1" x14ac:dyDescent="0.25">
      <c r="A53" s="2"/>
      <c r="B53" s="75"/>
      <c r="C53" s="75"/>
      <c r="D53" s="75"/>
      <c r="E53" s="75"/>
      <c r="F53" s="75"/>
      <c r="G53" s="75"/>
      <c r="H53" s="9"/>
      <c r="I53" s="3"/>
      <c r="J53" s="2"/>
      <c r="K53" s="2"/>
      <c r="L53" s="2"/>
      <c r="M53" s="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s="76" customFormat="1" ht="15" hidden="1" customHeight="1" outlineLevel="1" x14ac:dyDescent="0.25">
      <c r="A54" s="2"/>
      <c r="B54" s="75"/>
      <c r="C54" s="75"/>
      <c r="D54" s="75"/>
      <c r="E54" s="75"/>
      <c r="F54" s="75"/>
      <c r="G54" s="75"/>
      <c r="H54" s="9"/>
      <c r="I54" s="3"/>
      <c r="J54" s="2"/>
      <c r="K54" s="2"/>
      <c r="L54" s="2"/>
      <c r="M54" s="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s="76" customFormat="1" ht="15" hidden="1" customHeight="1" outlineLevel="1" x14ac:dyDescent="0.25">
      <c r="A55" s="2"/>
      <c r="B55" s="75"/>
      <c r="C55" s="75"/>
      <c r="D55" s="75"/>
      <c r="E55" s="75"/>
      <c r="F55" s="75"/>
      <c r="G55" s="75"/>
      <c r="H55" s="2"/>
      <c r="I55" s="3"/>
      <c r="J55" s="2"/>
      <c r="K55" s="2"/>
      <c r="L55" s="2"/>
      <c r="M55" s="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s="76" customFormat="1" ht="15" hidden="1" customHeight="1" outlineLevel="1" x14ac:dyDescent="0.25">
      <c r="A56" s="2"/>
      <c r="B56" s="75"/>
      <c r="C56" s="75"/>
      <c r="D56" s="75"/>
      <c r="E56" s="75"/>
      <c r="F56" s="75"/>
      <c r="G56" s="75"/>
      <c r="H56" s="2"/>
      <c r="I56" s="3"/>
      <c r="J56" s="2"/>
      <c r="K56" s="2"/>
      <c r="L56" s="2"/>
      <c r="M56" s="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s="76" customFormat="1" ht="15" hidden="1" customHeight="1" outlineLevel="1" x14ac:dyDescent="0.25">
      <c r="A57" s="2"/>
      <c r="B57" s="75"/>
      <c r="C57" s="75"/>
      <c r="D57" s="75"/>
      <c r="E57" s="75"/>
      <c r="F57" s="75"/>
      <c r="G57" s="75"/>
      <c r="H57" s="2"/>
      <c r="I57" s="3"/>
      <c r="J57" s="2"/>
      <c r="K57" s="2"/>
      <c r="L57" s="2"/>
      <c r="M57" s="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s="76" customFormat="1" ht="15" hidden="1" customHeight="1" outlineLevel="1" x14ac:dyDescent="0.25">
      <c r="A58" s="2"/>
      <c r="B58" s="75"/>
      <c r="C58" s="75"/>
      <c r="D58" s="75"/>
      <c r="E58" s="75"/>
      <c r="F58" s="75"/>
      <c r="G58" s="75"/>
      <c r="H58" s="2"/>
      <c r="I58" s="3"/>
      <c r="J58" s="2"/>
      <c r="K58" s="2"/>
      <c r="L58" s="2"/>
      <c r="M58" s="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s="76" customFormat="1" ht="15" hidden="1" customHeight="1" outlineLevel="1" x14ac:dyDescent="0.25">
      <c r="A59" s="2"/>
      <c r="B59" s="75"/>
      <c r="C59" s="75"/>
      <c r="D59" s="75"/>
      <c r="E59" s="75"/>
      <c r="F59" s="75"/>
      <c r="G59" s="75"/>
      <c r="H59" s="2"/>
      <c r="I59" s="3"/>
      <c r="J59" s="2"/>
      <c r="K59" s="2"/>
      <c r="L59" s="2"/>
      <c r="M59" s="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s="76" customFormat="1" ht="15" hidden="1" customHeight="1" outlineLevel="1" x14ac:dyDescent="0.25">
      <c r="A60" s="2"/>
      <c r="B60" s="75"/>
      <c r="C60" s="75"/>
      <c r="D60" s="75"/>
      <c r="E60" s="75"/>
      <c r="F60" s="75"/>
      <c r="G60" s="75"/>
      <c r="H60" s="2"/>
      <c r="I60" s="3"/>
      <c r="J60" s="2"/>
      <c r="K60" s="2"/>
      <c r="L60" s="2"/>
      <c r="M60" s="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s="76" customFormat="1" ht="15" hidden="1" customHeight="1" outlineLevel="1" x14ac:dyDescent="0.25">
      <c r="A61" s="2"/>
      <c r="B61" s="75"/>
      <c r="C61" s="75"/>
      <c r="D61" s="75"/>
      <c r="E61" s="75"/>
      <c r="F61" s="75"/>
      <c r="G61" s="75"/>
      <c r="H61" s="2"/>
      <c r="I61" s="3"/>
      <c r="J61" s="2"/>
      <c r="K61" s="2"/>
      <c r="L61" s="2"/>
      <c r="M61" s="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5" hidden="1" customHeight="1" outlineLevel="1" x14ac:dyDescent="0.25">
      <c r="A62" s="2"/>
      <c r="B62" s="75"/>
      <c r="C62" s="75"/>
      <c r="D62" s="75"/>
      <c r="E62" s="75"/>
      <c r="F62" s="75"/>
      <c r="G62" s="75"/>
      <c r="H62" s="2"/>
      <c r="I62" s="3"/>
      <c r="J62" s="2"/>
      <c r="K62" s="2"/>
      <c r="L62" s="2"/>
      <c r="M62" s="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5" hidden="1" customHeight="1" outlineLevel="1" x14ac:dyDescent="0.25">
      <c r="A63" s="2"/>
      <c r="B63" s="75"/>
      <c r="C63" s="75"/>
      <c r="D63" s="75"/>
      <c r="E63" s="75"/>
      <c r="F63" s="75"/>
      <c r="G63" s="75"/>
      <c r="H63" s="2"/>
      <c r="I63" s="3"/>
      <c r="J63" s="2"/>
      <c r="K63" s="2"/>
      <c r="L63" s="2"/>
      <c r="M63" s="3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5" hidden="1" customHeight="1" outlineLevel="1" x14ac:dyDescent="0.25">
      <c r="A64" s="2"/>
      <c r="B64" s="75"/>
      <c r="C64" s="75"/>
      <c r="D64" s="75"/>
      <c r="E64" s="75"/>
      <c r="F64" s="75"/>
      <c r="G64" s="75"/>
      <c r="H64" s="2"/>
      <c r="I64" s="3"/>
      <c r="J64" s="2"/>
      <c r="K64" s="2"/>
      <c r="L64" s="2"/>
      <c r="M64" s="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5" hidden="1" customHeight="1" outlineLevel="1" x14ac:dyDescent="0.25">
      <c r="A65" s="2"/>
      <c r="B65" s="75"/>
      <c r="C65" s="75"/>
      <c r="D65" s="75"/>
      <c r="E65" s="75"/>
      <c r="F65" s="75"/>
      <c r="G65" s="75"/>
      <c r="H65" s="2"/>
      <c r="I65" s="3"/>
      <c r="J65" s="2"/>
      <c r="K65" s="2"/>
      <c r="L65" s="2"/>
      <c r="M65" s="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5" customHeight="1" collapsed="1" x14ac:dyDescent="0.25">
      <c r="A66" s="2"/>
      <c r="B66" s="2"/>
      <c r="C66" s="2"/>
      <c r="D66" s="2"/>
      <c r="E66" s="2"/>
      <c r="F66" s="2"/>
      <c r="G66" s="2"/>
      <c r="H66" s="2"/>
      <c r="I66" s="3"/>
      <c r="J66" s="2"/>
      <c r="K66" s="2"/>
      <c r="L66" s="2"/>
      <c r="M66" s="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</sheetData>
  <mergeCells count="5">
    <mergeCell ref="B6:D6"/>
    <mergeCell ref="F6:H6"/>
    <mergeCell ref="J6:L6"/>
    <mergeCell ref="N6:P6"/>
    <mergeCell ref="R6:V6"/>
  </mergeCells>
  <pageMargins left="0.7" right="0.7" top="0.75" bottom="0.75" header="0.3" footer="0.3"/>
  <pageSetup scale="64" orientation="landscape" r:id="rId1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Bhandari</dc:creator>
  <cp:lastModifiedBy>Abhishek Bhandari</cp:lastModifiedBy>
  <dcterms:created xsi:type="dcterms:W3CDTF">2026-06-12T17:25:18Z</dcterms:created>
  <dcterms:modified xsi:type="dcterms:W3CDTF">2026-06-12T17:39:18Z</dcterms:modified>
</cp:coreProperties>
</file>