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zionadvisor-my.sharepoint.com/personal/abhishek_bhandari_zionadvisor_com/Documents/15 D Drive/2.ZAFtool/3.Backup/FDD templates/"/>
    </mc:Choice>
  </mc:AlternateContent>
  <xr:revisionPtr revIDLastSave="386" documentId="8_{845D21AB-0C8B-4AA4-B2C8-17E226918C14}" xr6:coauthVersionLast="47" xr6:coauthVersionMax="47" xr10:uidLastSave="{4016259D-56C8-4260-9E33-2F3850AC8687}"/>
  <bookViews>
    <workbookView xWindow="-120" yWindow="-120" windowWidth="20730" windowHeight="11040" activeTab="1" xr2:uid="{E9EE3EDC-A7EE-4079-998A-CD46D4D9A968}"/>
  </bookViews>
  <sheets>
    <sheet name="EBITDA Normalisation" sheetId="1" r:id="rId1"/>
    <sheet name="Cohort Reten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2" l="1"/>
  <c r="D28" i="2"/>
  <c r="D27" i="2"/>
  <c r="I25" i="2"/>
  <c r="H25" i="2"/>
  <c r="G25" i="2"/>
  <c r="F25" i="2"/>
  <c r="E25" i="2"/>
  <c r="D25" i="2"/>
  <c r="I22" i="2"/>
  <c r="H22" i="2"/>
  <c r="G22" i="2"/>
  <c r="F22" i="2"/>
  <c r="E22" i="2"/>
  <c r="D22" i="2"/>
  <c r="I21" i="2"/>
  <c r="H21" i="2"/>
  <c r="G21" i="2"/>
  <c r="F21" i="2"/>
  <c r="E21" i="2"/>
  <c r="D21" i="2"/>
  <c r="I20" i="2"/>
  <c r="H20" i="2"/>
  <c r="G20" i="2"/>
  <c r="F20" i="2"/>
  <c r="E20" i="2"/>
  <c r="D20" i="2"/>
  <c r="I19" i="2"/>
  <c r="H19" i="2"/>
  <c r="G19" i="2"/>
  <c r="F19" i="2"/>
  <c r="E19" i="2"/>
  <c r="D19" i="2"/>
  <c r="I18" i="2"/>
  <c r="H18" i="2"/>
  <c r="G18" i="2"/>
  <c r="F18" i="2"/>
  <c r="E18" i="2"/>
  <c r="D18" i="2"/>
  <c r="I17" i="2"/>
  <c r="H17" i="2"/>
  <c r="G17" i="2"/>
  <c r="F17" i="2"/>
  <c r="E17" i="2"/>
  <c r="D17" i="2"/>
  <c r="D23" i="1"/>
  <c r="D22" i="1"/>
  <c r="D21" i="1"/>
  <c r="D18" i="1"/>
  <c r="D20" i="1" s="1"/>
</calcChain>
</file>

<file path=xl/sharedStrings.xml><?xml version="1.0" encoding="utf-8"?>
<sst xmlns="http://schemas.openxmlformats.org/spreadsheetml/2006/main" count="59" uniqueCount="44">
  <si>
    <t>EBITDA NORMALISATION BRIDGE</t>
  </si>
  <si>
    <t>Units / currency:</t>
  </si>
  <si>
    <t>GBP '000</t>
  </si>
  <si>
    <t>Reported EBITDA adjusted to a maintainable, run-rate basis for pricing.</t>
  </si>
  <si>
    <t>Revenue (LTM)</t>
  </si>
  <si>
    <t>Reported EBITDA</t>
  </si>
  <si>
    <t>NORMALISATION ADJUSTMENTS (+ add back / - deduct)</t>
  </si>
  <si>
    <t>Owner / director remuneration vs market</t>
  </si>
  <si>
    <t>Non-recurring legal / restructuring / advisory</t>
  </si>
  <si>
    <t>One-off / abnormal income (deduct)</t>
  </si>
  <si>
    <t>Related-party items at non-market terms</t>
  </si>
  <si>
    <t>Pro-forma full-year effect of acquisitions</t>
  </si>
  <si>
    <t>Run-rate cost savings (signed/committed)</t>
  </si>
  <si>
    <t>Accounting-policy / cut-off adjustments</t>
  </si>
  <si>
    <t>Other normalisation items</t>
  </si>
  <si>
    <t>Total normalisation adjustments</t>
  </si>
  <si>
    <t>ADJUSTED / NORMALISED EBITDA</t>
  </si>
  <si>
    <t>Reported EBITDA margin</t>
  </si>
  <si>
    <t>Normalised EBITDA margin</t>
  </si>
  <si>
    <t>Net uplift to EBITDA</t>
  </si>
  <si>
    <t>§ Every add-back must be evidenced and sustainable; buyers discount unsubstantiated or 'run-rate' adjustments. Normalised EBITDA is the figure the multiple is applied to.</t>
  </si>
  <si>
    <t>COHORT REVENUE RETENTION</t>
  </si>
  <si>
    <t>Retained revenue by acquisition cohort; derives NRR, GRR and churn.</t>
  </si>
  <si>
    <t>RETAINED REVENUE BY COHORT (enter the triangle)</t>
  </si>
  <si>
    <t>Cohort \ period</t>
  </si>
  <si>
    <t>P0</t>
  </si>
  <si>
    <t>P1</t>
  </si>
  <si>
    <t>P2</t>
  </si>
  <si>
    <t>P3</t>
  </si>
  <si>
    <t>P4</t>
  </si>
  <si>
    <t>P5</t>
  </si>
  <si>
    <t>Cohort 1</t>
  </si>
  <si>
    <t>Cohort 2</t>
  </si>
  <si>
    <t>Cohort 3</t>
  </si>
  <si>
    <t>Cohort 4</t>
  </si>
  <si>
    <t>Cohort 5</t>
  </si>
  <si>
    <t>Cohort 6</t>
  </si>
  <si>
    <t>RETENTION RATE (% of cohort start)</t>
  </si>
  <si>
    <t>SUMMARY METRICS</t>
  </si>
  <si>
    <t>Average retention curve</t>
  </si>
  <si>
    <t>Net revenue retention (P1, blended)</t>
  </si>
  <si>
    <t>GROSS REVENUE RETENTION (P1, capped at 100%)</t>
  </si>
  <si>
    <t>Implied revenue churn (P1)</t>
  </si>
  <si>
    <t>§ Enter retained revenue for each cohort across its life (blank future periods). Retention &gt;100% (expansion) signals upsell; NRR above 100% is a strong quality marker. GRR strips expansion to show pure retention.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</si>
</sst>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0.0%"/>
  </numFmts>
  <fonts count="10" x14ac:knownFonts="1">
    <font>
      <sz val="11"/>
      <color theme="1"/>
      <name val="Aptos Narrow"/>
      <family val="2"/>
      <scheme val="minor"/>
    </font>
    <font>
      <b/>
      <sz val="16"/>
      <color rgb="FF1F407D"/>
      <name val="Calibri"/>
      <family val="2"/>
    </font>
    <font>
      <sz val="10"/>
      <color theme="1"/>
      <name val="Calibri"/>
      <family val="2"/>
    </font>
    <font>
      <sz val="10"/>
      <color rgb="FF787878"/>
      <name val="Calibri"/>
      <family val="2"/>
    </font>
    <font>
      <i/>
      <sz val="10"/>
      <color rgb="FF787878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1"/>
      <color rgb="FFFFFFFF"/>
      <name val="Calibri"/>
      <family val="2"/>
    </font>
    <font>
      <i/>
      <sz val="9"/>
      <color rgb="FF787878"/>
      <name val="Calibri"/>
      <family val="2"/>
    </font>
    <font>
      <b/>
      <i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07D"/>
        <bgColor indexed="64"/>
      </patternFill>
    </fill>
    <fill>
      <patternFill patternType="solid">
        <fgColor rgb="FFF3D9E2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/>
      <top/>
      <bottom style="medium">
        <color rgb="FF1F407D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/>
      <diagonal/>
    </border>
    <border>
      <left/>
      <right/>
      <top style="thin">
        <color rgb="FFC5C5C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/>
    <xf numFmtId="0" fontId="4" fillId="0" borderId="0" xfId="0" applyFont="1"/>
    <xf numFmtId="0" fontId="2" fillId="0" borderId="2" xfId="0" applyFont="1" applyBorder="1"/>
    <xf numFmtId="164" fontId="2" fillId="2" borderId="1" xfId="0" applyNumberFormat="1" applyFont="1" applyFill="1" applyBorder="1"/>
    <xf numFmtId="0" fontId="5" fillId="3" borderId="0" xfId="0" applyFont="1" applyFill="1"/>
    <xf numFmtId="164" fontId="2" fillId="2" borderId="3" xfId="0" applyNumberFormat="1" applyFont="1" applyFill="1" applyBorder="1"/>
    <xf numFmtId="0" fontId="6" fillId="4" borderId="0" xfId="0" applyFont="1" applyFill="1"/>
    <xf numFmtId="164" fontId="6" fillId="4" borderId="4" xfId="0" applyNumberFormat="1" applyFont="1" applyFill="1" applyBorder="1"/>
    <xf numFmtId="0" fontId="7" fillId="3" borderId="0" xfId="0" applyFont="1" applyFill="1"/>
    <xf numFmtId="164" fontId="7" fillId="3" borderId="0" xfId="0" applyNumberFormat="1" applyFont="1" applyFill="1"/>
    <xf numFmtId="165" fontId="2" fillId="0" borderId="0" xfId="0" applyNumberFormat="1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0584-D6B0-4AAE-8D73-F11D34DFEF3E}">
  <sheetPr codeName="Sheet8"/>
  <dimension ref="B2:G27"/>
  <sheetViews>
    <sheetView showGridLines="0" workbookViewId="0"/>
  </sheetViews>
  <sheetFormatPr defaultRowHeight="12.75" x14ac:dyDescent="0.2"/>
  <cols>
    <col min="1" max="1" width="2.7109375" style="2" customWidth="1"/>
    <col min="2" max="2" width="42.7109375" style="2" customWidth="1"/>
    <col min="3" max="3" width="2.7109375" style="2" customWidth="1"/>
    <col min="4" max="4" width="16.7109375" style="2" customWidth="1"/>
    <col min="5" max="5" width="2.7109375" style="2" customWidth="1"/>
    <col min="6" max="6" width="50.7109375" style="2" customWidth="1"/>
    <col min="7" max="7" width="12.7109375" style="2" customWidth="1"/>
    <col min="8" max="16384" width="9.140625" style="2"/>
  </cols>
  <sheetData>
    <row r="2" spans="2:7" ht="21" x14ac:dyDescent="0.35">
      <c r="B2" s="1" t="s">
        <v>0</v>
      </c>
      <c r="F2" s="3" t="s">
        <v>1</v>
      </c>
      <c r="G2" s="4" t="s">
        <v>2</v>
      </c>
    </row>
    <row r="3" spans="2:7" x14ac:dyDescent="0.2">
      <c r="B3" s="5" t="s">
        <v>3</v>
      </c>
    </row>
    <row r="4" spans="2:7" ht="13.5" thickBot="1" x14ac:dyDescent="0.25">
      <c r="B4" s="6"/>
      <c r="C4" s="6"/>
      <c r="D4" s="6"/>
      <c r="E4" s="6"/>
      <c r="F4" s="6"/>
    </row>
    <row r="6" spans="2:7" x14ac:dyDescent="0.2">
      <c r="B6" s="2" t="s">
        <v>4</v>
      </c>
      <c r="D6" s="7"/>
    </row>
    <row r="7" spans="2:7" x14ac:dyDescent="0.2">
      <c r="B7" s="2" t="s">
        <v>5</v>
      </c>
      <c r="D7" s="7"/>
    </row>
    <row r="9" spans="2:7" x14ac:dyDescent="0.2">
      <c r="B9" s="8" t="s">
        <v>6</v>
      </c>
      <c r="C9" s="8"/>
      <c r="D9" s="8"/>
    </row>
    <row r="10" spans="2:7" x14ac:dyDescent="0.2">
      <c r="B10" s="2" t="s">
        <v>7</v>
      </c>
      <c r="D10" s="7"/>
    </row>
    <row r="11" spans="2:7" x14ac:dyDescent="0.2">
      <c r="B11" s="2" t="s">
        <v>8</v>
      </c>
      <c r="D11" s="7"/>
    </row>
    <row r="12" spans="2:7" x14ac:dyDescent="0.2">
      <c r="B12" s="2" t="s">
        <v>9</v>
      </c>
      <c r="D12" s="7"/>
    </row>
    <row r="13" spans="2:7" x14ac:dyDescent="0.2">
      <c r="B13" s="2" t="s">
        <v>10</v>
      </c>
      <c r="D13" s="7"/>
    </row>
    <row r="14" spans="2:7" x14ac:dyDescent="0.2">
      <c r="B14" s="2" t="s">
        <v>11</v>
      </c>
      <c r="D14" s="7"/>
    </row>
    <row r="15" spans="2:7" x14ac:dyDescent="0.2">
      <c r="B15" s="2" t="s">
        <v>12</v>
      </c>
      <c r="D15" s="7"/>
    </row>
    <row r="16" spans="2:7" x14ac:dyDescent="0.2">
      <c r="B16" s="2" t="s">
        <v>13</v>
      </c>
      <c r="D16" s="7"/>
    </row>
    <row r="17" spans="2:4" x14ac:dyDescent="0.2">
      <c r="B17" s="2" t="s">
        <v>14</v>
      </c>
      <c r="D17" s="9"/>
    </row>
    <row r="18" spans="2:4" x14ac:dyDescent="0.2">
      <c r="B18" s="10" t="s">
        <v>15</v>
      </c>
      <c r="C18" s="10"/>
      <c r="D18" s="11">
        <f>SUM(D10:D17)</f>
        <v>0</v>
      </c>
    </row>
    <row r="20" spans="2:4" ht="15" x14ac:dyDescent="0.25">
      <c r="B20" s="12" t="s">
        <v>16</v>
      </c>
      <c r="C20" s="12"/>
      <c r="D20" s="13">
        <f>D7+D18</f>
        <v>0</v>
      </c>
    </row>
    <row r="21" spans="2:4" x14ac:dyDescent="0.2">
      <c r="B21" s="2" t="s">
        <v>17</v>
      </c>
      <c r="D21" s="14">
        <f>IF(D6=0,0,D7/D6)</f>
        <v>0</v>
      </c>
    </row>
    <row r="22" spans="2:4" x14ac:dyDescent="0.2">
      <c r="B22" s="2" t="s">
        <v>18</v>
      </c>
      <c r="D22" s="14">
        <f>IF(D6=0,0,D20/D6)</f>
        <v>0</v>
      </c>
    </row>
    <row r="23" spans="2:4" x14ac:dyDescent="0.2">
      <c r="B23" s="2" t="s">
        <v>19</v>
      </c>
      <c r="D23" s="14">
        <f>IF(D7=0,0,D18/D7)</f>
        <v>0</v>
      </c>
    </row>
    <row r="25" spans="2:4" x14ac:dyDescent="0.2">
      <c r="B25" s="15" t="s">
        <v>20</v>
      </c>
    </row>
    <row r="27" spans="2:4" x14ac:dyDescent="0.2">
      <c r="B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9470-E360-4024-AD03-FA318E301116}">
  <sheetPr codeName="Sheet1"/>
  <dimension ref="B2:I33"/>
  <sheetViews>
    <sheetView showGridLines="0" tabSelected="1" workbookViewId="0">
      <selection activeCell="G10" sqref="G10"/>
    </sheetView>
  </sheetViews>
  <sheetFormatPr defaultRowHeight="12.75" x14ac:dyDescent="0.2"/>
  <cols>
    <col min="1" max="1" width="2.7109375" style="2" customWidth="1"/>
    <col min="2" max="2" width="42.7109375" style="2" customWidth="1"/>
    <col min="3" max="3" width="2.7109375" style="2" customWidth="1"/>
    <col min="4" max="4" width="16.7109375" style="2" customWidth="1"/>
    <col min="5" max="5" width="2.7109375" style="2" customWidth="1"/>
    <col min="6" max="6" width="50.7109375" style="2" customWidth="1"/>
    <col min="7" max="7" width="12.7109375" style="2" customWidth="1"/>
    <col min="8" max="16384" width="9.140625" style="2"/>
  </cols>
  <sheetData>
    <row r="2" spans="2:9" ht="21" x14ac:dyDescent="0.35">
      <c r="B2" s="1" t="s">
        <v>21</v>
      </c>
      <c r="F2" s="3" t="s">
        <v>1</v>
      </c>
      <c r="G2" s="4" t="s">
        <v>2</v>
      </c>
    </row>
    <row r="3" spans="2:9" x14ac:dyDescent="0.2">
      <c r="B3" s="5" t="s">
        <v>22</v>
      </c>
    </row>
    <row r="4" spans="2:9" ht="13.5" thickBot="1" x14ac:dyDescent="0.25">
      <c r="B4" s="6"/>
      <c r="C4" s="6"/>
      <c r="D4" s="6"/>
      <c r="E4" s="6"/>
      <c r="F4" s="6"/>
    </row>
    <row r="6" spans="2:9" x14ac:dyDescent="0.2">
      <c r="B6" s="8" t="s">
        <v>23</v>
      </c>
      <c r="C6" s="8"/>
      <c r="D6" s="8"/>
    </row>
    <row r="7" spans="2:9" x14ac:dyDescent="0.2">
      <c r="B7" s="16" t="s">
        <v>24</v>
      </c>
      <c r="D7" s="17" t="s">
        <v>25</v>
      </c>
      <c r="E7" s="17" t="s">
        <v>26</v>
      </c>
      <c r="F7" s="17" t="s">
        <v>27</v>
      </c>
      <c r="G7" s="17" t="s">
        <v>28</v>
      </c>
      <c r="H7" s="17" t="s">
        <v>29</v>
      </c>
      <c r="I7" s="17" t="s">
        <v>30</v>
      </c>
    </row>
    <row r="8" spans="2:9" x14ac:dyDescent="0.2">
      <c r="B8" s="2" t="s">
        <v>31</v>
      </c>
      <c r="D8" s="7"/>
      <c r="E8" s="7"/>
      <c r="F8" s="7"/>
      <c r="G8" s="7"/>
      <c r="H8" s="7"/>
      <c r="I8" s="7"/>
    </row>
    <row r="9" spans="2:9" x14ac:dyDescent="0.2">
      <c r="B9" s="2" t="s">
        <v>32</v>
      </c>
      <c r="D9" s="7"/>
      <c r="E9" s="7"/>
      <c r="F9" s="7"/>
      <c r="G9" s="7"/>
      <c r="H9" s="7"/>
      <c r="I9" s="7"/>
    </row>
    <row r="10" spans="2:9" x14ac:dyDescent="0.2">
      <c r="B10" s="2" t="s">
        <v>33</v>
      </c>
      <c r="D10" s="7"/>
      <c r="E10" s="7"/>
      <c r="F10" s="7"/>
      <c r="G10" s="7"/>
      <c r="H10" s="7"/>
      <c r="I10" s="7"/>
    </row>
    <row r="11" spans="2:9" x14ac:dyDescent="0.2">
      <c r="B11" s="2" t="s">
        <v>34</v>
      </c>
      <c r="D11" s="7"/>
      <c r="E11" s="7"/>
      <c r="F11" s="7"/>
      <c r="G11" s="7"/>
      <c r="H11" s="7"/>
      <c r="I11" s="7"/>
    </row>
    <row r="12" spans="2:9" x14ac:dyDescent="0.2">
      <c r="B12" s="2" t="s">
        <v>35</v>
      </c>
      <c r="D12" s="7"/>
      <c r="E12" s="7"/>
      <c r="F12" s="7"/>
      <c r="G12" s="7"/>
      <c r="H12" s="7"/>
      <c r="I12" s="7"/>
    </row>
    <row r="13" spans="2:9" x14ac:dyDescent="0.2">
      <c r="B13" s="2" t="s">
        <v>36</v>
      </c>
      <c r="D13" s="7"/>
      <c r="E13" s="7"/>
      <c r="F13" s="7"/>
      <c r="G13" s="7"/>
      <c r="H13" s="7"/>
      <c r="I13" s="7"/>
    </row>
    <row r="15" spans="2:9" x14ac:dyDescent="0.2">
      <c r="B15" s="8" t="s">
        <v>37</v>
      </c>
      <c r="C15" s="8"/>
      <c r="D15" s="8"/>
    </row>
    <row r="16" spans="2:9" x14ac:dyDescent="0.2">
      <c r="B16" s="16" t="s">
        <v>24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29</v>
      </c>
      <c r="I16" s="17" t="s">
        <v>30</v>
      </c>
    </row>
    <row r="17" spans="2:9" x14ac:dyDescent="0.2">
      <c r="B17" s="2" t="s">
        <v>31</v>
      </c>
      <c r="D17" s="14" t="str">
        <f>IF(OR($D8=0,D8=""),"",D8/$D8)</f>
        <v/>
      </c>
      <c r="E17" s="14" t="str">
        <f>IF(OR($D8=0,E8=""),"",E8/$D8)</f>
        <v/>
      </c>
      <c r="F17" s="14" t="str">
        <f>IF(OR($D8=0,F8=""),"",F8/$D8)</f>
        <v/>
      </c>
      <c r="G17" s="14" t="str">
        <f>IF(OR($D8=0,G8=""),"",G8/$D8)</f>
        <v/>
      </c>
      <c r="H17" s="14" t="str">
        <f>IF(OR($D8=0,H8=""),"",H8/$D8)</f>
        <v/>
      </c>
      <c r="I17" s="14" t="str">
        <f>IF(OR($D8=0,I8=""),"",I8/$D8)</f>
        <v/>
      </c>
    </row>
    <row r="18" spans="2:9" x14ac:dyDescent="0.2">
      <c r="B18" s="2" t="s">
        <v>32</v>
      </c>
      <c r="D18" s="14" t="str">
        <f>IF(OR($D9=0,D9=""),"",D9/$D9)</f>
        <v/>
      </c>
      <c r="E18" s="14" t="str">
        <f>IF(OR($D9=0,E9=""),"",E9/$D9)</f>
        <v/>
      </c>
      <c r="F18" s="14" t="str">
        <f>IF(OR($D9=0,F9=""),"",F9/$D9)</f>
        <v/>
      </c>
      <c r="G18" s="14" t="str">
        <f>IF(OR($D9=0,G9=""),"",G9/$D9)</f>
        <v/>
      </c>
      <c r="H18" s="14" t="str">
        <f>IF(OR($D9=0,H9=""),"",H9/$D9)</f>
        <v/>
      </c>
      <c r="I18" s="14" t="str">
        <f>IF(OR($D9=0,I9=""),"",I9/$D9)</f>
        <v/>
      </c>
    </row>
    <row r="19" spans="2:9" x14ac:dyDescent="0.2">
      <c r="B19" s="2" t="s">
        <v>33</v>
      </c>
      <c r="D19" s="14" t="str">
        <f>IF(OR($D10=0,D10=""),"",D10/$D10)</f>
        <v/>
      </c>
      <c r="E19" s="14" t="str">
        <f>IF(OR($D10=0,E10=""),"",E10/$D10)</f>
        <v/>
      </c>
      <c r="F19" s="14" t="str">
        <f>IF(OR($D10=0,F10=""),"",F10/$D10)</f>
        <v/>
      </c>
      <c r="G19" s="14" t="str">
        <f>IF(OR($D10=0,G10=""),"",G10/$D10)</f>
        <v/>
      </c>
      <c r="H19" s="14" t="str">
        <f>IF(OR($D10=0,H10=""),"",H10/$D10)</f>
        <v/>
      </c>
      <c r="I19" s="14" t="str">
        <f>IF(OR($D10=0,I10=""),"",I10/$D10)</f>
        <v/>
      </c>
    </row>
    <row r="20" spans="2:9" x14ac:dyDescent="0.2">
      <c r="B20" s="2" t="s">
        <v>34</v>
      </c>
      <c r="D20" s="14" t="str">
        <f>IF(OR($D11=0,D11=""),"",D11/$D11)</f>
        <v/>
      </c>
      <c r="E20" s="14" t="str">
        <f>IF(OR($D11=0,E11=""),"",E11/$D11)</f>
        <v/>
      </c>
      <c r="F20" s="14" t="str">
        <f>IF(OR($D11=0,F11=""),"",F11/$D11)</f>
        <v/>
      </c>
      <c r="G20" s="14" t="str">
        <f>IF(OR($D11=0,G11=""),"",G11/$D11)</f>
        <v/>
      </c>
      <c r="H20" s="14" t="str">
        <f>IF(OR($D11=0,H11=""),"",H11/$D11)</f>
        <v/>
      </c>
      <c r="I20" s="14" t="str">
        <f>IF(OR($D11=0,I11=""),"",I11/$D11)</f>
        <v/>
      </c>
    </row>
    <row r="21" spans="2:9" x14ac:dyDescent="0.2">
      <c r="B21" s="2" t="s">
        <v>35</v>
      </c>
      <c r="D21" s="14" t="str">
        <f>IF(OR($D12=0,D12=""),"",D12/$D12)</f>
        <v/>
      </c>
      <c r="E21" s="14" t="str">
        <f>IF(OR($D12=0,E12=""),"",E12/$D12)</f>
        <v/>
      </c>
      <c r="F21" s="14" t="str">
        <f>IF(OR($D12=0,F12=""),"",F12/$D12)</f>
        <v/>
      </c>
      <c r="G21" s="14" t="str">
        <f>IF(OR($D12=0,G12=""),"",G12/$D12)</f>
        <v/>
      </c>
      <c r="H21" s="14" t="str">
        <f>IF(OR($D12=0,H12=""),"",H12/$D12)</f>
        <v/>
      </c>
      <c r="I21" s="14" t="str">
        <f>IF(OR($D12=0,I12=""),"",I12/$D12)</f>
        <v/>
      </c>
    </row>
    <row r="22" spans="2:9" x14ac:dyDescent="0.2">
      <c r="B22" s="2" t="s">
        <v>36</v>
      </c>
      <c r="D22" s="14" t="str">
        <f>IF(OR($D13=0,D13=""),"",D13/$D13)</f>
        <v/>
      </c>
      <c r="E22" s="14" t="str">
        <f>IF(OR($D13=0,E13=""),"",E13/$D13)</f>
        <v/>
      </c>
      <c r="F22" s="14" t="str">
        <f>IF(OR($D13=0,F13=""),"",F13/$D13)</f>
        <v/>
      </c>
      <c r="G22" s="14" t="str">
        <f>IF(OR($D13=0,G13=""),"",G13/$D13)</f>
        <v/>
      </c>
      <c r="H22" s="14" t="str">
        <f>IF(OR($D13=0,H13=""),"",H13/$D13)</f>
        <v/>
      </c>
      <c r="I22" s="14" t="str">
        <f>IF(OR($D13=0,I13=""),"",I13/$D13)</f>
        <v/>
      </c>
    </row>
    <row r="24" spans="2:9" x14ac:dyDescent="0.2">
      <c r="B24" s="8" t="s">
        <v>38</v>
      </c>
      <c r="C24" s="8"/>
      <c r="D24" s="8"/>
    </row>
    <row r="25" spans="2:9" x14ac:dyDescent="0.2">
      <c r="B25" s="18" t="s">
        <v>39</v>
      </c>
      <c r="C25" s="18"/>
      <c r="D25" s="19" t="str">
        <f>IFERROR(AVERAGE(D17:D22),"")</f>
        <v/>
      </c>
      <c r="E25" s="19" t="str">
        <f>IFERROR(AVERAGE(E17:E22),"")</f>
        <v/>
      </c>
      <c r="F25" s="19" t="str">
        <f>IFERROR(AVERAGE(F17:F22),"")</f>
        <v/>
      </c>
      <c r="G25" s="19" t="str">
        <f>IFERROR(AVERAGE(G17:G22),"")</f>
        <v/>
      </c>
      <c r="H25" s="19" t="str">
        <f>IFERROR(AVERAGE(H17:H22),"")</f>
        <v/>
      </c>
      <c r="I25" s="19" t="str">
        <f>IFERROR(AVERAGE(I17:I22),"")</f>
        <v/>
      </c>
    </row>
    <row r="27" spans="2:9" x14ac:dyDescent="0.2">
      <c r="B27" s="2" t="s">
        <v>40</v>
      </c>
      <c r="D27" s="14" t="str">
        <f>IFERROR(E25,"")</f>
        <v/>
      </c>
    </row>
    <row r="28" spans="2:9" ht="15" x14ac:dyDescent="0.25">
      <c r="B28" s="12" t="s">
        <v>41</v>
      </c>
      <c r="C28" s="12"/>
      <c r="D28" s="13">
        <f>IFERROR(MIN(1,E25),"")</f>
        <v>1</v>
      </c>
    </row>
    <row r="29" spans="2:9" x14ac:dyDescent="0.2">
      <c r="B29" s="2" t="s">
        <v>42</v>
      </c>
      <c r="D29" s="14">
        <f>IFERROR(1-D28,"")</f>
        <v>0</v>
      </c>
    </row>
    <row r="31" spans="2:9" x14ac:dyDescent="0.2">
      <c r="B31" s="15" t="s">
        <v>43</v>
      </c>
    </row>
    <row r="33" spans="2:2" x14ac:dyDescent="0.2">
      <c r="B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EBITDA Normalisation</vt:lpstr>
      <vt:lpstr>Cohort 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Bhandari</dc:creator>
  <cp:lastModifiedBy>Abhishek Bhandari</cp:lastModifiedBy>
  <dcterms:created xsi:type="dcterms:W3CDTF">2026-06-12T17:14:23Z</dcterms:created>
  <dcterms:modified xsi:type="dcterms:W3CDTF">2026-06-12T17:16:47Z</dcterms:modified>
</cp:coreProperties>
</file>