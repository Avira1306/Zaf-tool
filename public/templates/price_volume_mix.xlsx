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-Volume-M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<sst xmlns="http://schemas.openxmlformats.org/spreadsheetml/2006/main" count="42" uniqueCount="41">
  <si>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Units / currency:</t>
  </si>
  <si>
    <t xml:space="preserve">GBP '000</t>
  </si>
  <si>
    <t xml:space="preserve">PRICE-VOLUME-MIX ANALYSIS</t>
  </si>
  <si>
    <t xml:space="preserve">Decomposes the revenue variance between two periods into price, volume, mix and price/volume interaction effects, by product.</t>
  </si>
  <si>
    <t xml:space="preserve">REVENUE BY PRODUCT</t>
  </si>
  <si>
    <t xml:space="preserve">Prior
Price</t>
  </si>
  <si>
    <t xml:space="preserve">Current
Price</t>
  </si>
  <si>
    <t xml:space="preserve">Δ Price</t>
  </si>
  <si>
    <t xml:space="preserve">Prior
Units</t>
  </si>
  <si>
    <t xml:space="preserve">Current
Units</t>
  </si>
  <si>
    <t xml:space="preserve">Δ Units</t>
  </si>
  <si>
    <t xml:space="preserve">Prior
Revenue</t>
  </si>
  <si>
    <t xml:space="preserve">Current
Revenue</t>
  </si>
  <si>
    <t xml:space="preserve">Δ Revenue</t>
  </si>
  <si>
    <t xml:space="preserve">Product A</t>
  </si>
  <si>
    <t xml:space="preserve">Product B</t>
  </si>
  <si>
    <t xml:space="preserve">Product C</t>
  </si>
  <si>
    <t xml:space="preserve">Product D</t>
  </si>
  <si>
    <t xml:space="preserve">Product E</t>
  </si>
  <si>
    <t xml:space="preserve">Product F</t>
  </si>
  <si>
    <t xml:space="preserve">Total</t>
  </si>
  <si>
    <t xml:space="preserve">VARIANCE DECOMPOSITION (price / volume / mix / interaction effects)</t>
  </si>
  <si>
    <t xml:space="preserve">Vol. Mix %
(Prior)</t>
  </si>
  <si>
    <t xml:space="preserve">Vol. Mix %
(Current)</t>
  </si>
  <si>
    <t xml:space="preserve">Δ Vol.
Mix %</t>
  </si>
  <si>
    <t xml:space="preserve">Price
Effect</t>
  </si>
  <si>
    <t xml:space="preserve">Volume
Effect</t>
  </si>
  <si>
    <t xml:space="preserve">Mix
Effect</t>
  </si>
  <si>
    <t xml:space="preserve">Price x
Volume</t>
  </si>
  <si>
    <t xml:space="preserve">Total
Effect</t>
  </si>
  <si>
    <t xml:space="preserve">Check
(ΔRev - Total)</t>
  </si>
  <si>
    <t xml:space="preserve">REVENUE BRIDGE</t>
  </si>
  <si>
    <t xml:space="preserve">Prior period revenue</t>
  </si>
  <si>
    <t xml:space="preserve">(+) Price effect</t>
  </si>
  <si>
    <t xml:space="preserve">(+) Volume effect</t>
  </si>
  <si>
    <t xml:space="preserve">(+) Mix effect</t>
  </si>
  <si>
    <t xml:space="preserve">(+) Price x Volume interaction</t>
  </si>
  <si>
    <t xml:space="preserve">CURRENT PERIOD REVENUE</t>
  </si>
  <si>
    <t xml:space="preserve">Check vs. Section 1 total</t>
  </si>
  <si>
    <t xml:space="preserve">§ Price effect = prior units x change in price. Volume effect = prior price x change in units, net of the mix effect. Mix effect = total current units x (this product's prior price less the blended prior price) x change in this product's volume mix share. The price x volume term is the residual interaction arising from decomposing a product of two changing variables. The four effects sum exactly to the revenue variance for each product and in total.</t>
  </si>
  <si>
    <t xml:space="preserve">Yellow cells = inputs (edit me)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</si>
</sst>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(#,##0.0\)"/>
    <numFmt numFmtId="166" formatCode="#,##0;\(#,##0\)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787878"/>
      <name val="Calibri"/>
      <family val="0"/>
      <charset val="1"/>
    </font>
    <font>
      <sz val="10"/>
      <name val="Calibri"/>
      <family val="0"/>
      <charset val="1"/>
    </font>
    <font>
      <b val="true"/>
      <sz val="16"/>
      <color rgb="FF1F407D"/>
      <name val="Calibri"/>
      <family val="0"/>
      <charset val="1"/>
    </font>
    <font>
      <i val="true"/>
      <sz val="10"/>
      <color rgb="FF78787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787878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07D"/>
        <bgColor rgb="FF003366"/>
      </patternFill>
    </fill>
    <fill>
      <patternFill patternType="solid">
        <fgColor rgb="FFD9E2F3"/>
        <bgColor rgb="FFF3D9E2"/>
      </patternFill>
    </fill>
    <fill>
      <patternFill patternType="solid">
        <fgColor rgb="FFF3D9E2"/>
        <bgColor rgb="FFD9E2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 diagonalUp="false" diagonalDown="false">
      <left/>
      <right/>
      <top/>
      <bottom style="medium">
        <color rgb="FF1F407D"/>
      </bottom>
      <diagonal/>
    </border>
    <border diagonalUp="false" diagonalDown="false">
      <left/>
      <right/>
      <top style="thin">
        <color rgb="FFC5C5C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5C5"/>
      <rgbColor rgb="FF787878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D9E2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0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2"/>
    <col collapsed="false" customWidth="true" hidden="false" outlineLevel="0" max="12" min="4" style="0" width="13"/>
  </cols>
  <sheetData>
    <row r="1" customFormat="false" ht="15" hidden="false" customHeight="false" outlineLevel="0" collapsed="false">
      <c r="J1" s="1" t="s">
        <v>0</v>
      </c>
      <c r="K1" s="2" t="s">
        <v>1</v>
      </c>
    </row>
    <row r="2" customFormat="false" ht="19.7" hidden="false" customHeight="false" outlineLevel="0" collapsed="false">
      <c r="B2" s="3" t="s">
        <v>2</v>
      </c>
    </row>
    <row r="3" customFormat="false" ht="15" hidden="false" customHeight="false" outlineLevel="0" collapsed="false">
      <c r="B3" s="4" t="s">
        <v>3</v>
      </c>
    </row>
    <row r="4" customFormat="false" ht="15" hidden="false" customHeight="false" outlineLevel="0" collapsed="false"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6" customFormat="false" ht="15" hidden="false" customHeight="false" outlineLevel="0" collapsed="false"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27.75" hidden="false" customHeight="true" outlineLevel="0" collapsed="false"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</row>
    <row r="8" customFormat="false" ht="15" hidden="false" customHeight="false" outlineLevel="0" collapsed="false">
      <c r="B8" s="8" t="s">
        <v>14</v>
      </c>
      <c r="D8" s="9"/>
      <c r="E8" s="9"/>
      <c r="F8" s="10" t="n">
        <f aca="false">E8-D8</f>
        <v>0</v>
      </c>
      <c r="G8" s="11"/>
      <c r="H8" s="11"/>
      <c r="I8" s="12" t="n">
        <f aca="false">H8-G8</f>
        <v>0</v>
      </c>
      <c r="J8" s="12" t="n">
        <f aca="false">D8*G8</f>
        <v>0</v>
      </c>
      <c r="K8" s="12" t="n">
        <f aca="false">E8*H8</f>
        <v>0</v>
      </c>
      <c r="L8" s="12" t="n">
        <f aca="false">K8-J8</f>
        <v>0</v>
      </c>
    </row>
    <row r="9" customFormat="false" ht="15" hidden="false" customHeight="false" outlineLevel="0" collapsed="false">
      <c r="B9" s="8" t="s">
        <v>15</v>
      </c>
      <c r="D9" s="9"/>
      <c r="E9" s="9"/>
      <c r="F9" s="10" t="n">
        <f aca="false">E9-D9</f>
        <v>0</v>
      </c>
      <c r="G9" s="11"/>
      <c r="H9" s="11"/>
      <c r="I9" s="12" t="n">
        <f aca="false">H9-G9</f>
        <v>0</v>
      </c>
      <c r="J9" s="12" t="n">
        <f aca="false">D9*G9</f>
        <v>0</v>
      </c>
      <c r="K9" s="12" t="n">
        <f aca="false">E9*H9</f>
        <v>0</v>
      </c>
      <c r="L9" s="12" t="n">
        <f aca="false">K9-J9</f>
        <v>0</v>
      </c>
    </row>
    <row r="10" customFormat="false" ht="15" hidden="false" customHeight="false" outlineLevel="0" collapsed="false">
      <c r="B10" s="8" t="s">
        <v>16</v>
      </c>
      <c r="D10" s="9"/>
      <c r="E10" s="9"/>
      <c r="F10" s="10" t="n">
        <f aca="false">E10-D10</f>
        <v>0</v>
      </c>
      <c r="G10" s="11"/>
      <c r="H10" s="11"/>
      <c r="I10" s="12" t="n">
        <f aca="false">H10-G10</f>
        <v>0</v>
      </c>
      <c r="J10" s="12" t="n">
        <f aca="false">D10*G10</f>
        <v>0</v>
      </c>
      <c r="K10" s="12" t="n">
        <f aca="false">E10*H10</f>
        <v>0</v>
      </c>
      <c r="L10" s="12" t="n">
        <f aca="false">K10-J10</f>
        <v>0</v>
      </c>
    </row>
    <row r="11" customFormat="false" ht="15" hidden="false" customHeight="false" outlineLevel="0" collapsed="false">
      <c r="B11" s="8" t="s">
        <v>17</v>
      </c>
      <c r="D11" s="9"/>
      <c r="E11" s="9"/>
      <c r="F11" s="10" t="n">
        <f aca="false">E11-D11</f>
        <v>0</v>
      </c>
      <c r="G11" s="11"/>
      <c r="H11" s="11"/>
      <c r="I11" s="12" t="n">
        <f aca="false">H11-G11</f>
        <v>0</v>
      </c>
      <c r="J11" s="12" t="n">
        <f aca="false">D11*G11</f>
        <v>0</v>
      </c>
      <c r="K11" s="12" t="n">
        <f aca="false">E11*H11</f>
        <v>0</v>
      </c>
      <c r="L11" s="12" t="n">
        <f aca="false">K11-J11</f>
        <v>0</v>
      </c>
    </row>
    <row r="12" customFormat="false" ht="15" hidden="false" customHeight="false" outlineLevel="0" collapsed="false">
      <c r="B12" s="8" t="s">
        <v>18</v>
      </c>
      <c r="D12" s="9"/>
      <c r="E12" s="9"/>
      <c r="F12" s="10" t="n">
        <f aca="false">E12-D12</f>
        <v>0</v>
      </c>
      <c r="G12" s="11"/>
      <c r="H12" s="11"/>
      <c r="I12" s="12" t="n">
        <f aca="false">H12-G12</f>
        <v>0</v>
      </c>
      <c r="J12" s="12" t="n">
        <f aca="false">D12*G12</f>
        <v>0</v>
      </c>
      <c r="K12" s="12" t="n">
        <f aca="false">E12*H12</f>
        <v>0</v>
      </c>
      <c r="L12" s="12" t="n">
        <f aca="false">K12-J12</f>
        <v>0</v>
      </c>
    </row>
    <row r="13" customFormat="false" ht="15" hidden="false" customHeight="false" outlineLevel="0" collapsed="false">
      <c r="B13" s="8" t="s">
        <v>19</v>
      </c>
      <c r="D13" s="9"/>
      <c r="E13" s="9"/>
      <c r="F13" s="10" t="n">
        <f aca="false">E13-D13</f>
        <v>0</v>
      </c>
      <c r="G13" s="11"/>
      <c r="H13" s="11"/>
      <c r="I13" s="12" t="n">
        <f aca="false">H13-G13</f>
        <v>0</v>
      </c>
      <c r="J13" s="12" t="n">
        <f aca="false">D13*G13</f>
        <v>0</v>
      </c>
      <c r="K13" s="12" t="n">
        <f aca="false">E13*H13</f>
        <v>0</v>
      </c>
      <c r="L13" s="12" t="n">
        <f aca="false">K13-J13</f>
        <v>0</v>
      </c>
    </row>
    <row r="14" customFormat="false" ht="15" hidden="false" customHeight="false" outlineLevel="0" collapsed="false">
      <c r="B14" s="13" t="s">
        <v>20</v>
      </c>
      <c r="D14" s="14" t="n">
        <f aca="false">IFERROR(J14/G14,0)</f>
        <v>0</v>
      </c>
      <c r="E14" s="14" t="n">
        <f aca="false">IFERROR(K14/H14,0)</f>
        <v>0</v>
      </c>
      <c r="F14" s="14" t="n">
        <f aca="false">E14-D14</f>
        <v>0</v>
      </c>
      <c r="G14" s="15" t="n">
        <f aca="false">SUM(G8:G13)</f>
        <v>0</v>
      </c>
      <c r="H14" s="15" t="n">
        <f aca="false">SUM(H8:H13)</f>
        <v>0</v>
      </c>
      <c r="I14" s="15" t="n">
        <f aca="false">H14-G14</f>
        <v>0</v>
      </c>
      <c r="J14" s="15" t="n">
        <f aca="false">SUM(J8:J13)</f>
        <v>0</v>
      </c>
      <c r="K14" s="15" t="n">
        <f aca="false">SUM(K8:K13)</f>
        <v>0</v>
      </c>
      <c r="L14" s="15" t="n">
        <f aca="false">K14-J14</f>
        <v>0</v>
      </c>
    </row>
    <row r="16" customFormat="false" ht="15" hidden="false" customHeight="false" outlineLevel="0" collapsed="false">
      <c r="B16" s="6" t="s">
        <v>21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27.75" hidden="false" customHeight="true" outlineLevel="0" collapsed="false">
      <c r="D17" s="7" t="s">
        <v>22</v>
      </c>
      <c r="E17" s="7" t="s">
        <v>23</v>
      </c>
      <c r="F17" s="7" t="s">
        <v>24</v>
      </c>
      <c r="G17" s="7" t="s">
        <v>25</v>
      </c>
      <c r="H17" s="7" t="s">
        <v>26</v>
      </c>
      <c r="I17" s="7" t="s">
        <v>27</v>
      </c>
      <c r="J17" s="7" t="s">
        <v>28</v>
      </c>
      <c r="K17" s="7" t="s">
        <v>29</v>
      </c>
      <c r="L17" s="7" t="s">
        <v>30</v>
      </c>
    </row>
    <row r="18" customFormat="false" ht="15" hidden="false" customHeight="false" outlineLevel="0" collapsed="false">
      <c r="B18" s="10" t="str">
        <f aca="false">B8</f>
        <v>Product A</v>
      </c>
      <c r="D18" s="16" t="n">
        <f aca="false">IFERROR(G8/$G$14,0)</f>
        <v>0</v>
      </c>
      <c r="E18" s="16" t="n">
        <f aca="false">IFERROR(H8/$H$14,0)</f>
        <v>0</v>
      </c>
      <c r="F18" s="16" t="n">
        <f aca="false">E18-D18</f>
        <v>0</v>
      </c>
      <c r="G18" s="10" t="n">
        <f aca="false">G8*F8</f>
        <v>0</v>
      </c>
      <c r="H18" s="10" t="n">
        <f aca="false">D8*I8-I18</f>
        <v>0</v>
      </c>
      <c r="I18" s="10" t="n">
        <f aca="false">$H$14*(D8-$D$14)*F18</f>
        <v>0</v>
      </c>
      <c r="J18" s="10" t="n">
        <f aca="false">F8*I8</f>
        <v>0</v>
      </c>
      <c r="K18" s="10" t="n">
        <f aca="false">G18+H18+I18+J18</f>
        <v>0</v>
      </c>
      <c r="L18" s="10" t="n">
        <f aca="false">L8-K18</f>
        <v>0</v>
      </c>
    </row>
    <row r="19" customFormat="false" ht="15" hidden="false" customHeight="false" outlineLevel="0" collapsed="false">
      <c r="B19" s="10" t="str">
        <f aca="false">B9</f>
        <v>Product B</v>
      </c>
      <c r="D19" s="16" t="n">
        <f aca="false">IFERROR(G9/$G$14,0)</f>
        <v>0</v>
      </c>
      <c r="E19" s="16" t="n">
        <f aca="false">IFERROR(H9/$H$14,0)</f>
        <v>0</v>
      </c>
      <c r="F19" s="16" t="n">
        <f aca="false">E19-D19</f>
        <v>0</v>
      </c>
      <c r="G19" s="10" t="n">
        <f aca="false">G9*F9</f>
        <v>0</v>
      </c>
      <c r="H19" s="10" t="n">
        <f aca="false">D9*I9-I19</f>
        <v>0</v>
      </c>
      <c r="I19" s="10" t="n">
        <f aca="false">$H$14*(D9-$D$14)*F19</f>
        <v>0</v>
      </c>
      <c r="J19" s="10" t="n">
        <f aca="false">F9*I9</f>
        <v>0</v>
      </c>
      <c r="K19" s="10" t="n">
        <f aca="false">G19+H19+I19+J19</f>
        <v>0</v>
      </c>
      <c r="L19" s="10" t="n">
        <f aca="false">L9-K19</f>
        <v>0</v>
      </c>
    </row>
    <row r="20" customFormat="false" ht="15" hidden="false" customHeight="false" outlineLevel="0" collapsed="false">
      <c r="B20" s="10" t="str">
        <f aca="false">B10</f>
        <v>Product C</v>
      </c>
      <c r="D20" s="16" t="n">
        <f aca="false">IFERROR(G10/$G$14,0)</f>
        <v>0</v>
      </c>
      <c r="E20" s="16" t="n">
        <f aca="false">IFERROR(H10/$H$14,0)</f>
        <v>0</v>
      </c>
      <c r="F20" s="16" t="n">
        <f aca="false">E20-D20</f>
        <v>0</v>
      </c>
      <c r="G20" s="10" t="n">
        <f aca="false">G10*F10</f>
        <v>0</v>
      </c>
      <c r="H20" s="10" t="n">
        <f aca="false">D10*I10-I20</f>
        <v>0</v>
      </c>
      <c r="I20" s="10" t="n">
        <f aca="false">$H$14*(D10-$D$14)*F20</f>
        <v>0</v>
      </c>
      <c r="J20" s="10" t="n">
        <f aca="false">F10*I10</f>
        <v>0</v>
      </c>
      <c r="K20" s="10" t="n">
        <f aca="false">G20+H20+I20+J20</f>
        <v>0</v>
      </c>
      <c r="L20" s="10" t="n">
        <f aca="false">L10-K20</f>
        <v>0</v>
      </c>
    </row>
    <row r="21" customFormat="false" ht="15" hidden="false" customHeight="false" outlineLevel="0" collapsed="false">
      <c r="B21" s="10" t="str">
        <f aca="false">B11</f>
        <v>Product D</v>
      </c>
      <c r="D21" s="16" t="n">
        <f aca="false">IFERROR(G11/$G$14,0)</f>
        <v>0</v>
      </c>
      <c r="E21" s="16" t="n">
        <f aca="false">IFERROR(H11/$H$14,0)</f>
        <v>0</v>
      </c>
      <c r="F21" s="16" t="n">
        <f aca="false">E21-D21</f>
        <v>0</v>
      </c>
      <c r="G21" s="10" t="n">
        <f aca="false">G11*F11</f>
        <v>0</v>
      </c>
      <c r="H21" s="10" t="n">
        <f aca="false">D11*I11-I21</f>
        <v>0</v>
      </c>
      <c r="I21" s="10" t="n">
        <f aca="false">$H$14*(D11-$D$14)*F21</f>
        <v>0</v>
      </c>
      <c r="J21" s="10" t="n">
        <f aca="false">F11*I11</f>
        <v>0</v>
      </c>
      <c r="K21" s="10" t="n">
        <f aca="false">G21+H21+I21+J21</f>
        <v>0</v>
      </c>
      <c r="L21" s="10" t="n">
        <f aca="false">L11-K21</f>
        <v>0</v>
      </c>
    </row>
    <row r="22" customFormat="false" ht="15" hidden="false" customHeight="false" outlineLevel="0" collapsed="false">
      <c r="B22" s="10" t="str">
        <f aca="false">B12</f>
        <v>Product E</v>
      </c>
      <c r="D22" s="16" t="n">
        <f aca="false">IFERROR(G12/$G$14,0)</f>
        <v>0</v>
      </c>
      <c r="E22" s="16" t="n">
        <f aca="false">IFERROR(H12/$H$14,0)</f>
        <v>0</v>
      </c>
      <c r="F22" s="16" t="n">
        <f aca="false">E22-D22</f>
        <v>0</v>
      </c>
      <c r="G22" s="10" t="n">
        <f aca="false">G12*F12</f>
        <v>0</v>
      </c>
      <c r="H22" s="10" t="n">
        <f aca="false">D12*I12-I22</f>
        <v>0</v>
      </c>
      <c r="I22" s="10" t="n">
        <f aca="false">$H$14*(D12-$D$14)*F22</f>
        <v>0</v>
      </c>
      <c r="J22" s="10" t="n">
        <f aca="false">F12*I12</f>
        <v>0</v>
      </c>
      <c r="K22" s="10" t="n">
        <f aca="false">G22+H22+I22+J22</f>
        <v>0</v>
      </c>
      <c r="L22" s="10" t="n">
        <f aca="false">L12-K22</f>
        <v>0</v>
      </c>
    </row>
    <row r="23" customFormat="false" ht="15" hidden="false" customHeight="false" outlineLevel="0" collapsed="false">
      <c r="B23" s="10" t="str">
        <f aca="false">B13</f>
        <v>Product F</v>
      </c>
      <c r="D23" s="16" t="n">
        <f aca="false">IFERROR(G13/$G$14,0)</f>
        <v>0</v>
      </c>
      <c r="E23" s="16" t="n">
        <f aca="false">IFERROR(H13/$H$14,0)</f>
        <v>0</v>
      </c>
      <c r="F23" s="16" t="n">
        <f aca="false">E23-D23</f>
        <v>0</v>
      </c>
      <c r="G23" s="10" t="n">
        <f aca="false">G13*F13</f>
        <v>0</v>
      </c>
      <c r="H23" s="10" t="n">
        <f aca="false">D13*I13-I23</f>
        <v>0</v>
      </c>
      <c r="I23" s="10" t="n">
        <f aca="false">$H$14*(D13-$D$14)*F23</f>
        <v>0</v>
      </c>
      <c r="J23" s="10" t="n">
        <f aca="false">F13*I13</f>
        <v>0</v>
      </c>
      <c r="K23" s="10" t="n">
        <f aca="false">G23+H23+I23+J23</f>
        <v>0</v>
      </c>
      <c r="L23" s="10" t="n">
        <f aca="false">L13-K23</f>
        <v>0</v>
      </c>
    </row>
    <row r="24" customFormat="false" ht="15" hidden="false" customHeight="false" outlineLevel="0" collapsed="false">
      <c r="B24" s="13" t="s">
        <v>20</v>
      </c>
      <c r="D24" s="17" t="n">
        <f aca="false">SUM(D18:D23)</f>
        <v>0</v>
      </c>
      <c r="E24" s="17" t="n">
        <f aca="false">SUM(E18:E23)</f>
        <v>0</v>
      </c>
      <c r="F24" s="17" t="n">
        <f aca="false">E24-D24</f>
        <v>0</v>
      </c>
      <c r="G24" s="14" t="n">
        <f aca="false">SUM(G18:G23)</f>
        <v>0</v>
      </c>
      <c r="H24" s="14" t="n">
        <f aca="false">SUM(H18:H23)</f>
        <v>0</v>
      </c>
      <c r="I24" s="14" t="n">
        <f aca="false">SUM(I18:I23)</f>
        <v>0</v>
      </c>
      <c r="J24" s="14" t="n">
        <f aca="false">SUM(J18:J23)</f>
        <v>0</v>
      </c>
      <c r="K24" s="14" t="n">
        <f aca="false">SUM(K18:K23)</f>
        <v>0</v>
      </c>
      <c r="L24" s="14" t="n">
        <f aca="false">L14-K24</f>
        <v>0</v>
      </c>
    </row>
    <row r="26" customFormat="false" ht="15" hidden="false" customHeight="false" outlineLevel="0" collapsed="false">
      <c r="B26" s="6" t="s">
        <v>31</v>
      </c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false" outlineLevel="0" collapsed="false">
      <c r="B27" s="8" t="s">
        <v>32</v>
      </c>
      <c r="D27" s="12" t="n">
        <f aca="false">J14</f>
        <v>0</v>
      </c>
    </row>
    <row r="28" customFormat="false" ht="15" hidden="false" customHeight="false" outlineLevel="0" collapsed="false">
      <c r="B28" s="8" t="s">
        <v>33</v>
      </c>
      <c r="D28" s="12" t="n">
        <f aca="false">G24</f>
        <v>0</v>
      </c>
    </row>
    <row r="29" customFormat="false" ht="15" hidden="false" customHeight="false" outlineLevel="0" collapsed="false">
      <c r="B29" s="8" t="s">
        <v>34</v>
      </c>
      <c r="D29" s="12" t="n">
        <f aca="false">H24</f>
        <v>0</v>
      </c>
    </row>
    <row r="30" customFormat="false" ht="15" hidden="false" customHeight="false" outlineLevel="0" collapsed="false">
      <c r="B30" s="8" t="s">
        <v>35</v>
      </c>
      <c r="D30" s="12" t="n">
        <f aca="false">I24</f>
        <v>0</v>
      </c>
    </row>
    <row r="31" customFormat="false" ht="15" hidden="false" customHeight="false" outlineLevel="0" collapsed="false">
      <c r="B31" s="8" t="s">
        <v>36</v>
      </c>
      <c r="D31" s="12" t="n">
        <f aca="false">J24</f>
        <v>0</v>
      </c>
    </row>
    <row r="32" customFormat="false" ht="15" hidden="false" customHeight="false" outlineLevel="0" collapsed="false">
      <c r="B32" s="18" t="s">
        <v>37</v>
      </c>
      <c r="C32" s="19"/>
      <c r="D32" s="20" t="n">
        <f aca="false">D27+D28+D29+D30+D31</f>
        <v>0</v>
      </c>
      <c r="E32" s="19"/>
      <c r="F32" s="19"/>
      <c r="G32" s="19"/>
      <c r="H32" s="19"/>
      <c r="I32" s="19"/>
      <c r="J32" s="19"/>
      <c r="K32" s="19"/>
      <c r="L32" s="19"/>
    </row>
    <row r="33" customFormat="false" ht="15" hidden="false" customHeight="false" outlineLevel="0" collapsed="false">
      <c r="B33" s="4" t="s">
        <v>38</v>
      </c>
      <c r="D33" s="21" t="n">
        <f aca="false">D32-K14</f>
        <v>0</v>
      </c>
    </row>
    <row r="35" customFormat="false" ht="45" hidden="false" customHeight="true" outlineLevel="0" collapsed="false">
      <c r="B35" s="22" t="s">
        <v>39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7" customFormat="false" ht="15" hidden="false" customHeight="false" outlineLevel="0" collapsed="false">
      <c r="B37" s="2"/>
      <c r="C37" s="23" t="s">
        <v>40</v>
      </c>
    </row>
  </sheetData>
  <mergeCells count="1">
    <mergeCell ref="B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2026-06-12T17:30:42Z</dcterms:created>
  <dc:creator>openpyxl</dc:creator>
  <dc:description/>
  <dc:language>en-US</dc:language>
  <cp:lastModifiedBy/>
  <dcterms:modified xsi:type="dcterms:W3CDTF">2026-06-12T17:30:42Z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